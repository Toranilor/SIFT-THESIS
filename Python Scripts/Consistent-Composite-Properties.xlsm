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2690" windowHeight="12000" activeTab="3"/>
    <workbookView visibility="hidden" xWindow="120" yWindow="135" windowWidth="24915" windowHeight="12075" activeTab="8"/>
  </bookViews>
  <sheets>
    <sheet name="Fibre" sheetId="7" r:id="rId1"/>
    <sheet name="Resin" sheetId="8" r:id="rId2"/>
    <sheet name="Ply" sheetId="9" r:id="rId3"/>
    <sheet name="Mechanical" sheetId="1" r:id="rId4"/>
    <sheet name="Python" sheetId="6" r:id="rId5"/>
    <sheet name="UD Thermal Expansion" sheetId="2" r:id="rId6"/>
    <sheet name="Bounds" sheetId="3" r:id="rId7"/>
    <sheet name="Rotation Matrix" sheetId="4" r:id="rId8"/>
    <sheet name="Extended Tensor" sheetId="10" r:id="rId9"/>
  </sheets>
  <functionGroups builtInGroupCount="17"/>
  <definedNames>
    <definedName name="A">'Rotation Matrix'!$C$15:$H$20</definedName>
    <definedName name="a_bar">'UD Thermal Expansion'!$F$8:$F$13</definedName>
    <definedName name="a_f">'UD Thermal Expansion'!$D$8:$D$13</definedName>
    <definedName name="a_m">'UD Thermal Expansion'!$B$8:$B$13</definedName>
    <definedName name="alpha_m">Mechanical!$C$13</definedName>
    <definedName name="alpha1_f">Mechanical!$B$13</definedName>
    <definedName name="alpha1_UD">Mechanical!$E$13</definedName>
    <definedName name="alpha2_f">Mechanical!$B$14</definedName>
    <definedName name="alpha2_UD">Mechanical!$E$14</definedName>
    <definedName name="alpha3_f">Mechanical!$B$15</definedName>
    <definedName name="alpha3_UD">Mechanical!$E$15</definedName>
    <definedName name="delta_a">'UD Thermal Expansion'!$H$8:$H$13</definedName>
    <definedName name="delta_S">'UD Thermal Expansion'!$B$43:$G$48</definedName>
    <definedName name="E_m">Mechanical!$C$4</definedName>
    <definedName name="E1_f">Mechanical!$B$4</definedName>
    <definedName name="E1_UD">Mechanical!$E$4</definedName>
    <definedName name="E2_f">Mechanical!$B$5</definedName>
    <definedName name="E2_UD">Mechanical!$E$5</definedName>
    <definedName name="E3_f">Mechanical!$B$6</definedName>
    <definedName name="E3_UD">Mechanical!$E$6</definedName>
    <definedName name="Fibre">Mechanical!$B$2</definedName>
    <definedName name="Fibres">Fibre!$A$1:$H$8</definedName>
    <definedName name="G_m">Mechanical!$C$7</definedName>
    <definedName name="G12_f">Mechanical!$B$7</definedName>
    <definedName name="G12_UD">Mechanical!$E$7</definedName>
    <definedName name="G13_f">Mechanical!$B$9</definedName>
    <definedName name="G13_UD">Mechanical!$E$9</definedName>
    <definedName name="G23_f">Mechanical!$B$8</definedName>
    <definedName name="G23_UD">Mechanical!$E$8</definedName>
    <definedName name="K_f">Mechanical!$B$16</definedName>
    <definedName name="K_m">Mechanical!$C$16</definedName>
    <definedName name="K_UD">Mechanical!$E$16</definedName>
    <definedName name="L">'Rotation Matrix'!$C$11:$E$13</definedName>
    <definedName name="nu_m">Mechanical!$C$10</definedName>
    <definedName name="nu12_f">Mechanical!$B$10</definedName>
    <definedName name="nu12_UD">Mechanical!$E$10</definedName>
    <definedName name="nu13_f">Mechanical!$B$12</definedName>
    <definedName name="nu13_UD">Mechanical!$E$12</definedName>
    <definedName name="nu21_f">Mechanical!$B$22</definedName>
    <definedName name="nu21_UD">Mechanical!$E$22</definedName>
    <definedName name="nu23_f">Mechanical!$B$11</definedName>
    <definedName name="nu23_UD">Mechanical!$E$11</definedName>
    <definedName name="nu31_f">Mechanical!$B$24</definedName>
    <definedName name="nu31_UD">Mechanical!$E$24</definedName>
    <definedName name="nu32_f">Mechanical!$B$23</definedName>
    <definedName name="nu32_UD">Mechanical!$E$23</definedName>
    <definedName name="P">'UD Thermal Expansion'!$B$50:$G$55</definedName>
    <definedName name="Plies">Ply!$A$1:$H$9</definedName>
    <definedName name="Resin">Mechanical!$C$2</definedName>
    <definedName name="Resins">Resin!$A$1:$H$5</definedName>
    <definedName name="S_bar">'UD Thermal Expansion'!$B$36:$G$41</definedName>
    <definedName name="S_f">'UD Thermal Expansion'!$B$15:$G$20</definedName>
    <definedName name="S_m">'UD Thermal Expansion'!$B$22:$G$27</definedName>
    <definedName name="S_star">'UD Thermal Expansion'!$B$29:$G$34</definedName>
    <definedName name="Vf">Mechanical!$B$3</definedName>
    <definedName name="Vm">Mechanical!$C$3</definedName>
    <definedName name="W">'UD Thermal Expansion'!$B$1:$G$6</definedName>
    <definedName name="X_axis">'Rotation Matrix'!$C$2:$C$4</definedName>
    <definedName name="X_axis_unit">'Rotation Matrix'!$F$2:$F$4</definedName>
    <definedName name="X_prime">'Rotation Matrix'!$C$7:$C$9</definedName>
    <definedName name="X_prime_unit">'Rotation Matrix'!$F$7:$F$9</definedName>
    <definedName name="XY_plane">'Rotation Matrix'!$D$2:$D$4</definedName>
    <definedName name="XY_prime">'Rotation Matrix'!$D$7:$D$9</definedName>
    <definedName name="Y_axis_unit">'Rotation Matrix'!$G$2:$G$4</definedName>
    <definedName name="y_prime_unit">'Rotation Matrix'!$G$7:$G$9</definedName>
    <definedName name="Z_axis_unit">'Rotation Matrix'!$H$2:$H$4</definedName>
    <definedName name="z_prime_unit">'Rotation Matrix'!$H$7:$H$9</definedName>
  </definedNames>
  <calcPr calcId="145621"/>
</workbook>
</file>

<file path=xl/calcChain.xml><?xml version="1.0" encoding="utf-8"?>
<calcChain xmlns="http://schemas.openxmlformats.org/spreadsheetml/2006/main">
  <c r="E14" i="1" l="1"/>
  <c r="E13" i="1"/>
  <c r="E11" i="1"/>
  <c r="E10" i="1"/>
  <c r="E7" i="1"/>
  <c r="E5" i="1"/>
  <c r="E6" i="1" s="1"/>
  <c r="E4" i="1"/>
  <c r="H2" i="4" a="1"/>
  <c r="H7" i="4" a="1"/>
  <c r="E12" i="1" l="1"/>
  <c r="E22" i="1"/>
  <c r="E23" i="1"/>
  <c r="H9" i="4"/>
  <c r="H7" i="4"/>
  <c r="H8" i="4"/>
  <c r="H2" i="4"/>
  <c r="H3" i="4"/>
  <c r="H4" i="4"/>
  <c r="E24" i="1" l="1"/>
  <c r="F7" i="10" s="1"/>
  <c r="F6" i="10"/>
  <c r="F9" i="10"/>
  <c r="F8" i="10"/>
  <c r="C13" i="1"/>
  <c r="C10" i="1"/>
  <c r="C22" i="1" s="1"/>
  <c r="C4" i="1"/>
  <c r="B14" i="1"/>
  <c r="B13" i="1"/>
  <c r="B11" i="1"/>
  <c r="B10" i="1"/>
  <c r="B5" i="1"/>
  <c r="B4" i="1"/>
  <c r="F11" i="10" l="1"/>
  <c r="F5" i="10"/>
  <c r="F13" i="10" s="1"/>
  <c r="F4" i="10"/>
  <c r="F12" i="10" s="1"/>
  <c r="B22" i="1"/>
  <c r="B8" i="1"/>
  <c r="B17" i="10" s="1"/>
  <c r="B58" i="6"/>
  <c r="D58" i="6" s="1"/>
  <c r="B55" i="6"/>
  <c r="D55" i="6" s="1"/>
  <c r="B52" i="6"/>
  <c r="D52" i="6" s="1"/>
  <c r="B45" i="6"/>
  <c r="D45" i="6" s="1"/>
  <c r="B44" i="6"/>
  <c r="D44" i="6" s="1"/>
  <c r="B41" i="6"/>
  <c r="D41" i="6" s="1"/>
  <c r="B40" i="6"/>
  <c r="D40" i="6" s="1"/>
  <c r="B33" i="6"/>
  <c r="D33" i="6" s="1"/>
  <c r="B32" i="6"/>
  <c r="D32" i="6" s="1"/>
  <c r="D10" i="6"/>
  <c r="D11" i="6"/>
  <c r="D14" i="6"/>
  <c r="D15" i="6"/>
  <c r="D18" i="6"/>
  <c r="D19" i="6"/>
  <c r="D22" i="6"/>
  <c r="D23" i="6"/>
  <c r="D26" i="6"/>
  <c r="D27" i="6"/>
  <c r="D28" i="6"/>
  <c r="D29" i="6"/>
  <c r="D30" i="6"/>
  <c r="D31" i="6"/>
  <c r="D34" i="6"/>
  <c r="D35" i="6"/>
  <c r="D38" i="6"/>
  <c r="D39" i="6"/>
  <c r="D42" i="6"/>
  <c r="D43" i="6"/>
  <c r="D46" i="6"/>
  <c r="D47" i="6"/>
  <c r="D48" i="6"/>
  <c r="D49" i="6"/>
  <c r="D50" i="6"/>
  <c r="D51" i="6"/>
  <c r="D53" i="6"/>
  <c r="D54" i="6"/>
  <c r="D56" i="6"/>
  <c r="D57" i="6"/>
  <c r="D7" i="6"/>
  <c r="D8" i="6"/>
  <c r="B9" i="6"/>
  <c r="D9" i="6" s="1"/>
  <c r="D1" i="6"/>
  <c r="D2" i="6"/>
  <c r="D3" i="6"/>
  <c r="D4" i="6"/>
  <c r="D5" i="6"/>
  <c r="B6" i="6"/>
  <c r="D6" i="6" s="1"/>
  <c r="E9" i="1" l="1"/>
  <c r="F7" i="4" a="1"/>
  <c r="F2" i="4" a="1"/>
  <c r="F7" i="4" l="1"/>
  <c r="F8" i="4"/>
  <c r="F9" i="4"/>
  <c r="F2" i="4"/>
  <c r="F3" i="4"/>
  <c r="F4" i="4"/>
  <c r="C4" i="3"/>
  <c r="C23" i="2"/>
  <c r="D24" i="2" s="1"/>
  <c r="C22" i="2"/>
  <c r="B23" i="2" s="1"/>
  <c r="B22" i="2"/>
  <c r="D16" i="2"/>
  <c r="C17" i="2" s="1"/>
  <c r="C16" i="2"/>
  <c r="D17" i="2" s="1"/>
  <c r="C15" i="2"/>
  <c r="B16" i="2" s="1"/>
  <c r="B15" i="2"/>
  <c r="D9" i="2"/>
  <c r="D10" i="2" s="1"/>
  <c r="D8" i="2"/>
  <c r="B8" i="2"/>
  <c r="B9" i="2" s="1"/>
  <c r="B10" i="2" s="1"/>
  <c r="C11" i="4"/>
  <c r="G2" i="4" a="1"/>
  <c r="G7" i="4" a="1"/>
  <c r="G8" i="4" l="1"/>
  <c r="G7" i="4"/>
  <c r="G9" i="4"/>
  <c r="G4" i="4"/>
  <c r="G2" i="4"/>
  <c r="G3" i="4"/>
  <c r="H8" i="2" a="1"/>
  <c r="H8" i="2" s="1"/>
  <c r="D22" i="2"/>
  <c r="D23" i="2" s="1"/>
  <c r="C24" i="2" s="1"/>
  <c r="B24" i="2"/>
  <c r="D15" i="2"/>
  <c r="B17" i="2"/>
  <c r="C3" i="1"/>
  <c r="F8" i="2" s="1" a="1"/>
  <c r="E15" i="1"/>
  <c r="B37" i="6"/>
  <c r="D37" i="6" s="1"/>
  <c r="C7" i="1"/>
  <c r="B6" i="1"/>
  <c r="B12" i="1"/>
  <c r="B15" i="1"/>
  <c r="E11" i="4"/>
  <c r="C12" i="4"/>
  <c r="E12" i="4"/>
  <c r="D13" i="4"/>
  <c r="D11" i="4"/>
  <c r="C13" i="4"/>
  <c r="D12" i="4"/>
  <c r="E13" i="4"/>
  <c r="C6" i="10" l="1"/>
  <c r="C9" i="10"/>
  <c r="B23" i="1"/>
  <c r="C8" i="10" s="1"/>
  <c r="B6" i="10"/>
  <c r="B24" i="1"/>
  <c r="B9" i="10"/>
  <c r="C20" i="4"/>
  <c r="H16" i="4"/>
  <c r="D20" i="4"/>
  <c r="H15" i="4"/>
  <c r="H20" i="4"/>
  <c r="F20" i="4"/>
  <c r="F18" i="4"/>
  <c r="F19" i="4"/>
  <c r="C15" i="4" a="1"/>
  <c r="C17" i="4" s="1"/>
  <c r="F15" i="4"/>
  <c r="G15" i="4"/>
  <c r="E20" i="4"/>
  <c r="G16" i="4"/>
  <c r="G20" i="4"/>
  <c r="F16" i="4"/>
  <c r="F17" i="4"/>
  <c r="H18" i="4"/>
  <c r="D18" i="4"/>
  <c r="D19" i="4"/>
  <c r="H19" i="4"/>
  <c r="G17" i="4"/>
  <c r="E19" i="4"/>
  <c r="E18" i="4"/>
  <c r="G19" i="4"/>
  <c r="H17" i="4"/>
  <c r="C18" i="4"/>
  <c r="C19" i="4"/>
  <c r="G18" i="4"/>
  <c r="E17" i="4"/>
  <c r="B16" i="1"/>
  <c r="E18" i="2"/>
  <c r="C5" i="3"/>
  <c r="C16" i="1"/>
  <c r="C11" i="3" s="1"/>
  <c r="E25" i="2"/>
  <c r="F26" i="2" s="1"/>
  <c r="G27" i="2" s="1"/>
  <c r="B43" i="2" a="1"/>
  <c r="E45" i="2" s="1"/>
  <c r="H11" i="2"/>
  <c r="H12" i="2"/>
  <c r="H9" i="2"/>
  <c r="H10" i="2"/>
  <c r="H13" i="2"/>
  <c r="F9" i="2"/>
  <c r="F13" i="2"/>
  <c r="F10" i="2"/>
  <c r="F11" i="2"/>
  <c r="F8" i="2"/>
  <c r="F12" i="2"/>
  <c r="C11" i="10" l="1"/>
  <c r="B7" i="10"/>
  <c r="C7" i="10"/>
  <c r="C4" i="10"/>
  <c r="B5" i="10"/>
  <c r="C5" i="10"/>
  <c r="C13" i="10" s="1"/>
  <c r="C3" i="3"/>
  <c r="C2" i="3" s="1"/>
  <c r="E16" i="1"/>
  <c r="B11" i="10"/>
  <c r="H4" i="7" s="1"/>
  <c r="B4" i="10"/>
  <c r="B12" i="10" s="1"/>
  <c r="B8" i="10"/>
  <c r="D17" i="4"/>
  <c r="E16" i="4"/>
  <c r="C15" i="4"/>
  <c r="C16" i="4"/>
  <c r="D15" i="4"/>
  <c r="D16" i="4"/>
  <c r="E15" i="4"/>
  <c r="G47" i="2"/>
  <c r="G43" i="2"/>
  <c r="E48" i="2"/>
  <c r="D46" i="2"/>
  <c r="B46" i="2"/>
  <c r="B45" i="2"/>
  <c r="D43" i="2"/>
  <c r="D47" i="2"/>
  <c r="E47" i="2"/>
  <c r="D16" i="1"/>
  <c r="D4" i="1"/>
  <c r="F4" i="1" s="1"/>
  <c r="D10" i="1"/>
  <c r="C6" i="3"/>
  <c r="D45" i="2"/>
  <c r="B44" i="2"/>
  <c r="B47" i="2"/>
  <c r="G46" i="2"/>
  <c r="C43" i="2"/>
  <c r="F45" i="2"/>
  <c r="C48" i="2"/>
  <c r="E44" i="2"/>
  <c r="B48" i="2"/>
  <c r="F44" i="2"/>
  <c r="C45" i="2"/>
  <c r="E43" i="2"/>
  <c r="G45" i="2"/>
  <c r="D48" i="2"/>
  <c r="G44" i="2"/>
  <c r="C47" i="2"/>
  <c r="F43" i="2"/>
  <c r="F46" i="2"/>
  <c r="F48" i="2"/>
  <c r="C46" i="2"/>
  <c r="D44" i="2"/>
  <c r="C44" i="2"/>
  <c r="E46" i="2"/>
  <c r="B43" i="2"/>
  <c r="B13" i="10" l="1"/>
  <c r="C12" i="10"/>
  <c r="B7" i="1"/>
  <c r="B29" i="2"/>
  <c r="B12" i="6"/>
  <c r="D12" i="6" s="1"/>
  <c r="F10" i="1"/>
  <c r="B20" i="6"/>
  <c r="D20" i="6" s="1"/>
  <c r="C22" i="4" a="1"/>
  <c r="D23" i="4" s="1"/>
  <c r="L23" i="4" s="1"/>
  <c r="C10" i="3"/>
  <c r="D12" i="1"/>
  <c r="C29" i="2"/>
  <c r="C7" i="3"/>
  <c r="B16" i="10" l="1"/>
  <c r="B36" i="6"/>
  <c r="D36" i="6" s="1"/>
  <c r="F19" i="2"/>
  <c r="B9" i="1"/>
  <c r="B18" i="10" s="1"/>
  <c r="D7" i="1"/>
  <c r="F12" i="1"/>
  <c r="C12" i="3"/>
  <c r="D27" i="4"/>
  <c r="L25" i="4" s="1"/>
  <c r="F27" i="4"/>
  <c r="O25" i="4" s="1"/>
  <c r="C23" i="4"/>
  <c r="K23" i="4" s="1"/>
  <c r="H27" i="4"/>
  <c r="N25" i="4" s="1"/>
  <c r="D24" i="4"/>
  <c r="L24" i="4" s="1"/>
  <c r="F23" i="4"/>
  <c r="O23" i="4" s="1"/>
  <c r="H26" i="4"/>
  <c r="N27" i="4" s="1"/>
  <c r="D26" i="4"/>
  <c r="L27" i="4" s="1"/>
  <c r="F25" i="4"/>
  <c r="O26" i="4" s="1"/>
  <c r="C25" i="4"/>
  <c r="K26" i="4" s="1"/>
  <c r="G27" i="4"/>
  <c r="P25" i="4" s="1"/>
  <c r="C26" i="4"/>
  <c r="K27" i="4" s="1"/>
  <c r="H24" i="4"/>
  <c r="N24" i="4" s="1"/>
  <c r="G22" i="4"/>
  <c r="P22" i="4" s="1"/>
  <c r="E25" i="4"/>
  <c r="M26" i="4" s="1"/>
  <c r="C27" i="4"/>
  <c r="K25" i="4" s="1"/>
  <c r="G23" i="4"/>
  <c r="P23" i="4" s="1"/>
  <c r="E27" i="4"/>
  <c r="M25" i="4" s="1"/>
  <c r="G26" i="4"/>
  <c r="P27" i="4" s="1"/>
  <c r="C22" i="4"/>
  <c r="K22" i="4" s="1"/>
  <c r="G24" i="4"/>
  <c r="P24" i="4" s="1"/>
  <c r="G25" i="4"/>
  <c r="P26" i="4" s="1"/>
  <c r="E23" i="4"/>
  <c r="M23" i="4" s="1"/>
  <c r="E24" i="4"/>
  <c r="M24" i="4" s="1"/>
  <c r="D25" i="4"/>
  <c r="L26" i="4" s="1"/>
  <c r="E22" i="4"/>
  <c r="M22" i="4" s="1"/>
  <c r="E26" i="4"/>
  <c r="M27" i="4" s="1"/>
  <c r="F26" i="4"/>
  <c r="O27" i="4" s="1"/>
  <c r="H22" i="4"/>
  <c r="N22" i="4" s="1"/>
  <c r="F24" i="4"/>
  <c r="O24" i="4" s="1"/>
  <c r="H25" i="4"/>
  <c r="N26" i="4" s="1"/>
  <c r="F22" i="4"/>
  <c r="O22" i="4" s="1"/>
  <c r="C24" i="4"/>
  <c r="K24" i="4" s="1"/>
  <c r="D22" i="4"/>
  <c r="L22" i="4" s="1"/>
  <c r="H23" i="4"/>
  <c r="N23" i="4" s="1"/>
  <c r="C13" i="3"/>
  <c r="C14" i="3"/>
  <c r="D11" i="1" s="1"/>
  <c r="C15" i="3"/>
  <c r="B30" i="2"/>
  <c r="D29" i="2"/>
  <c r="B31" i="2"/>
  <c r="D8" i="1"/>
  <c r="B36" i="2" l="1" a="1"/>
  <c r="G20" i="2"/>
  <c r="F47" i="2"/>
  <c r="E16" i="10"/>
  <c r="B16" i="6"/>
  <c r="D16" i="6" s="1"/>
  <c r="F7" i="1"/>
  <c r="D9" i="1"/>
  <c r="F33" i="2"/>
  <c r="G34" i="2" s="1"/>
  <c r="E9" i="10"/>
  <c r="D5" i="1"/>
  <c r="E37" i="2" l="1"/>
  <c r="B36" i="2"/>
  <c r="C41" i="2"/>
  <c r="D40" i="2"/>
  <c r="C39" i="2"/>
  <c r="D38" i="2"/>
  <c r="G39" i="2"/>
  <c r="B39" i="2"/>
  <c r="G37" i="2"/>
  <c r="C40" i="2"/>
  <c r="F38" i="2"/>
  <c r="C38" i="2"/>
  <c r="F36" i="2"/>
  <c r="C36" i="2"/>
  <c r="G36" i="2"/>
  <c r="F41" i="2"/>
  <c r="B37" i="2"/>
  <c r="D39" i="2"/>
  <c r="G40" i="2"/>
  <c r="B40" i="2"/>
  <c r="G38" i="2"/>
  <c r="D37" i="2"/>
  <c r="E39" i="2"/>
  <c r="B38" i="2"/>
  <c r="F39" i="2"/>
  <c r="E38" i="2"/>
  <c r="F37" i="2"/>
  <c r="E36" i="2"/>
  <c r="E41" i="2"/>
  <c r="C37" i="2"/>
  <c r="D36" i="2"/>
  <c r="D41" i="2"/>
  <c r="B41" i="2"/>
  <c r="E40" i="2"/>
  <c r="F40" i="2"/>
  <c r="F9" i="1"/>
  <c r="E18" i="10"/>
  <c r="B50" i="2" a="1"/>
  <c r="G48" i="2"/>
  <c r="G41" i="2"/>
  <c r="E6" i="10"/>
  <c r="E11" i="10" s="1"/>
  <c r="C30" i="2"/>
  <c r="D6" i="1"/>
  <c r="B13" i="6"/>
  <c r="D13" i="6" s="1"/>
  <c r="F5" i="1"/>
  <c r="D30" i="2"/>
  <c r="C31" i="2" s="1"/>
  <c r="B21" i="6"/>
  <c r="D21" i="6" s="1"/>
  <c r="F11" i="1"/>
  <c r="B54" i="2" l="1"/>
  <c r="F51" i="2"/>
  <c r="E53" i="2"/>
  <c r="F54" i="2"/>
  <c r="C55" i="2"/>
  <c r="C53" i="2"/>
  <c r="B55" i="2"/>
  <c r="B51" i="2"/>
  <c r="G52" i="2"/>
  <c r="D53" i="2"/>
  <c r="G51" i="2"/>
  <c r="E54" i="2"/>
  <c r="E51" i="2"/>
  <c r="D55" i="2"/>
  <c r="F50" i="2"/>
  <c r="B50" i="2"/>
  <c r="E52" i="2"/>
  <c r="D54" i="2"/>
  <c r="C52" i="2"/>
  <c r="E50" i="2"/>
  <c r="G55" i="2"/>
  <c r="B52" i="2"/>
  <c r="D50" i="2"/>
  <c r="D51" i="2"/>
  <c r="G53" i="2"/>
  <c r="F53" i="2"/>
  <c r="E55" i="2"/>
  <c r="C50" i="2"/>
  <c r="D52" i="2"/>
  <c r="C51" i="2"/>
  <c r="B53" i="2"/>
  <c r="F52" i="2"/>
  <c r="G54" i="2"/>
  <c r="G50" i="2"/>
  <c r="C54" i="2"/>
  <c r="F55" i="2"/>
  <c r="E7" i="10"/>
  <c r="D31" i="2"/>
  <c r="F6" i="1"/>
  <c r="E4" i="10" l="1"/>
  <c r="E12" i="10" s="1"/>
  <c r="C5" i="9" s="1"/>
  <c r="E8" i="1" s="1"/>
  <c r="E2" i="10"/>
  <c r="E8" i="10"/>
  <c r="E5" i="10"/>
  <c r="B57" i="2" a="1"/>
  <c r="E17" i="10" l="1"/>
  <c r="B17" i="6"/>
  <c r="D17" i="6" s="1"/>
  <c r="F8" i="1"/>
  <c r="E32" i="2"/>
  <c r="B64" i="2" s="1" a="1"/>
  <c r="C64" i="2" s="1"/>
  <c r="E13" i="10"/>
  <c r="C60" i="2"/>
  <c r="E57" i="2"/>
  <c r="E62" i="2"/>
  <c r="B61" i="2"/>
  <c r="G60" i="2"/>
  <c r="D62" i="2"/>
  <c r="D61" i="2"/>
  <c r="G57" i="2"/>
  <c r="F60" i="2"/>
  <c r="B60" i="2"/>
  <c r="F62" i="2"/>
  <c r="C62" i="2"/>
  <c r="F57" i="2"/>
  <c r="E58" i="2"/>
  <c r="G59" i="2"/>
  <c r="F59" i="2"/>
  <c r="B62" i="2"/>
  <c r="D60" i="2"/>
  <c r="B57" i="2"/>
  <c r="C61" i="2"/>
  <c r="F61" i="2"/>
  <c r="E61" i="2"/>
  <c r="E59" i="2"/>
  <c r="G58" i="2"/>
  <c r="G61" i="2"/>
  <c r="F58" i="2"/>
  <c r="G62" i="2"/>
  <c r="C57" i="2"/>
  <c r="D57" i="2"/>
  <c r="B58" i="2"/>
  <c r="B59" i="2"/>
  <c r="D58" i="2"/>
  <c r="C59" i="2"/>
  <c r="C58" i="2"/>
  <c r="D59" i="2"/>
  <c r="E60" i="2" l="1"/>
  <c r="E69" i="2"/>
  <c r="G65" i="2"/>
  <c r="D66" i="2"/>
  <c r="F69" i="2"/>
  <c r="F67" i="2"/>
  <c r="C69" i="2"/>
  <c r="E68" i="2"/>
  <c r="F66" i="2"/>
  <c r="D69" i="2"/>
  <c r="B69" i="2"/>
  <c r="G68" i="2"/>
  <c r="D64" i="2"/>
  <c r="C68" i="2"/>
  <c r="E64" i="2"/>
  <c r="C65" i="2"/>
  <c r="C66" i="2"/>
  <c r="F65" i="2"/>
  <c r="D67" i="2"/>
  <c r="G64" i="2"/>
  <c r="D65" i="2"/>
  <c r="E66" i="2"/>
  <c r="G66" i="2"/>
  <c r="G67" i="2"/>
  <c r="E65" i="2"/>
  <c r="D68" i="2"/>
  <c r="B67" i="2"/>
  <c r="G69" i="2"/>
  <c r="E67" i="2"/>
  <c r="B64" i="2"/>
  <c r="F64" i="2"/>
  <c r="B65" i="2"/>
  <c r="F68" i="2"/>
  <c r="B66" i="2"/>
  <c r="C67" i="2"/>
  <c r="B68" i="2"/>
  <c r="J8" i="2" l="1" a="1"/>
  <c r="J8" i="2" s="1"/>
  <c r="D13" i="1" s="1"/>
  <c r="B24" i="6" s="1"/>
  <c r="D24" i="6" s="1"/>
  <c r="J10" i="2" l="1"/>
  <c r="J9" i="2"/>
  <c r="D14" i="1" s="1"/>
  <c r="F14" i="1" s="1"/>
  <c r="J11" i="2"/>
  <c r="F13" i="1"/>
  <c r="J13" i="2"/>
  <c r="J12" i="2"/>
  <c r="B25" i="6"/>
  <c r="D25" i="6" s="1"/>
  <c r="D15" i="1" l="1"/>
  <c r="F15" i="1" s="1"/>
</calcChain>
</file>

<file path=xl/comments1.xml><?xml version="1.0" encoding="utf-8"?>
<comments xmlns="http://schemas.openxmlformats.org/spreadsheetml/2006/main">
  <authors>
    <author>Garth</author>
  </authors>
  <commentList>
    <comment ref="B3" authorId="0">
      <text>
        <r>
          <rPr>
            <b/>
            <sz val="9"/>
            <color indexed="81"/>
            <rFont val="Tahoma"/>
            <charset val="1"/>
          </rPr>
          <t>Garth:</t>
        </r>
        <r>
          <rPr>
            <sz val="9"/>
            <color indexed="81"/>
            <rFont val="Tahoma"/>
            <charset val="1"/>
          </rPr>
          <t xml:space="preserve">
Measured by UNSW: Simon Farah</t>
        </r>
      </text>
    </comment>
    <comment ref="C3" authorId="0">
      <text>
        <r>
          <rPr>
            <b/>
            <sz val="9"/>
            <color indexed="81"/>
            <rFont val="Tahoma"/>
            <charset val="1"/>
          </rPr>
          <t>Garth:</t>
        </r>
        <r>
          <rPr>
            <sz val="9"/>
            <color indexed="81"/>
            <rFont val="Tahoma"/>
            <charset val="1"/>
          </rPr>
          <t xml:space="preserve">
Measured by UNSW: Simon Farah</t>
        </r>
      </text>
    </comment>
    <comment ref="B9" authorId="0">
      <text>
        <r>
          <rPr>
            <b/>
            <sz val="9"/>
            <color indexed="81"/>
            <rFont val="Tahoma"/>
            <charset val="1"/>
          </rPr>
          <t>Garth:</t>
        </r>
        <r>
          <rPr>
            <sz val="9"/>
            <color indexed="81"/>
            <rFont val="Tahoma"/>
            <charset val="1"/>
          </rPr>
          <t xml:space="preserve">
Measured by UNSW: Simon Farah</t>
        </r>
      </text>
    </comment>
    <comment ref="C9" authorId="0">
      <text>
        <r>
          <rPr>
            <b/>
            <sz val="9"/>
            <color indexed="81"/>
            <rFont val="Tahoma"/>
            <charset val="1"/>
          </rPr>
          <t>Garth:</t>
        </r>
        <r>
          <rPr>
            <sz val="9"/>
            <color indexed="81"/>
            <rFont val="Tahoma"/>
            <charset val="1"/>
          </rPr>
          <t xml:space="preserve">
Measured by UNSW: Simon Farah</t>
        </r>
      </text>
    </comment>
  </commentList>
</comments>
</file>

<file path=xl/sharedStrings.xml><?xml version="1.0" encoding="utf-8"?>
<sst xmlns="http://schemas.openxmlformats.org/spreadsheetml/2006/main" count="205" uniqueCount="142">
  <si>
    <r>
      <rPr>
        <sz val="11"/>
        <color theme="1"/>
        <rFont val="Calibri"/>
        <family val="2"/>
      </rPr>
      <t>ν</t>
    </r>
    <r>
      <rPr>
        <vertAlign val="subscript"/>
        <sz val="11"/>
        <color theme="1"/>
        <rFont val="Calibri"/>
        <family val="2"/>
      </rPr>
      <t>12</t>
    </r>
  </si>
  <si>
    <r>
      <t>ν</t>
    </r>
    <r>
      <rPr>
        <vertAlign val="subscript"/>
        <sz val="11"/>
        <color theme="1"/>
        <rFont val="Calibri"/>
        <family val="2"/>
      </rPr>
      <t>23</t>
    </r>
  </si>
  <si>
    <r>
      <t>ν</t>
    </r>
    <r>
      <rPr>
        <vertAlign val="subscript"/>
        <sz val="11"/>
        <color theme="1"/>
        <rFont val="Calibri"/>
        <family val="2"/>
      </rPr>
      <t>13</t>
    </r>
  </si>
  <si>
    <r>
      <t>E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(GPa)</t>
    </r>
  </si>
  <si>
    <r>
      <t>E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(GPa)</t>
    </r>
  </si>
  <si>
    <r>
      <t>E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(GPa)</t>
    </r>
  </si>
  <si>
    <r>
      <t>G</t>
    </r>
    <r>
      <rPr>
        <vertAlign val="subscript"/>
        <sz val="11"/>
        <color theme="1"/>
        <rFont val="Calibri"/>
        <family val="2"/>
        <scheme val="minor"/>
      </rPr>
      <t>12</t>
    </r>
    <r>
      <rPr>
        <sz val="11"/>
        <color theme="1"/>
        <rFont val="Calibri"/>
        <family val="2"/>
        <scheme val="minor"/>
      </rPr>
      <t xml:space="preserve"> (GPa)</t>
    </r>
  </si>
  <si>
    <r>
      <t>G</t>
    </r>
    <r>
      <rPr>
        <vertAlign val="subscript"/>
        <sz val="11"/>
        <color theme="1"/>
        <rFont val="Calibri"/>
        <family val="2"/>
        <scheme val="minor"/>
      </rPr>
      <t>23</t>
    </r>
    <r>
      <rPr>
        <sz val="11"/>
        <color theme="1"/>
        <rFont val="Calibri"/>
        <family val="2"/>
        <scheme val="minor"/>
      </rPr>
      <t xml:space="preserve"> (GPa)</t>
    </r>
  </si>
  <si>
    <r>
      <t>G</t>
    </r>
    <r>
      <rPr>
        <vertAlign val="subscript"/>
        <sz val="11"/>
        <color theme="1"/>
        <rFont val="Calibri"/>
        <family val="2"/>
        <scheme val="minor"/>
      </rPr>
      <t>13</t>
    </r>
    <r>
      <rPr>
        <sz val="11"/>
        <color theme="1"/>
        <rFont val="Calibri"/>
        <family val="2"/>
        <scheme val="minor"/>
      </rPr>
      <t xml:space="preserve"> (GPa)</t>
    </r>
  </si>
  <si>
    <r>
      <t>α</t>
    </r>
    <r>
      <rPr>
        <vertAlign val="subscript"/>
        <sz val="11"/>
        <color theme="1"/>
        <rFont val="Calibri"/>
        <family val="2"/>
      </rPr>
      <t xml:space="preserve">1 </t>
    </r>
    <r>
      <rPr>
        <sz val="11"/>
        <color theme="1"/>
        <rFont val="Calibri"/>
        <family val="2"/>
      </rPr>
      <t>(/</t>
    </r>
    <r>
      <rPr>
        <vertAlign val="super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>C)</t>
    </r>
  </si>
  <si>
    <r>
      <t>α</t>
    </r>
    <r>
      <rPr>
        <vertAlign val="subscript"/>
        <sz val="11"/>
        <color theme="1"/>
        <rFont val="Calibri"/>
        <family val="2"/>
      </rPr>
      <t xml:space="preserve">2 </t>
    </r>
    <r>
      <rPr>
        <sz val="11"/>
        <color theme="1"/>
        <rFont val="Calibri"/>
        <family val="2"/>
      </rPr>
      <t>(/</t>
    </r>
    <r>
      <rPr>
        <vertAlign val="super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>C)</t>
    </r>
  </si>
  <si>
    <r>
      <t>α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 xml:space="preserve"> (/</t>
    </r>
    <r>
      <rPr>
        <vertAlign val="super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>C)</t>
    </r>
  </si>
  <si>
    <t>Transverse k (GPa)</t>
  </si>
  <si>
    <t>Property</t>
  </si>
  <si>
    <t>Volume Fraction</t>
  </si>
  <si>
    <t>m</t>
  </si>
  <si>
    <t>Bounds</t>
  </si>
  <si>
    <t>S_f</t>
  </si>
  <si>
    <t>S_m</t>
  </si>
  <si>
    <t>S_bar</t>
  </si>
  <si>
    <t>P</t>
  </si>
  <si>
    <t>S*</t>
  </si>
  <si>
    <t>W</t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</si>
  <si>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>_m</t>
    </r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</si>
  <si>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>_f</t>
    </r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</si>
  <si>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>_bar</t>
    </r>
  </si>
  <si>
    <r>
      <rPr>
        <sz val="11"/>
        <color theme="1"/>
        <rFont val="Calibri"/>
        <family val="2"/>
        <scheme val="minor"/>
      </rPr>
      <t>delta_</t>
    </r>
    <r>
      <rPr>
        <sz val="11"/>
        <color theme="1"/>
        <rFont val="Symbol"/>
        <family val="1"/>
        <charset val="2"/>
      </rPr>
      <t>a</t>
    </r>
  </si>
  <si>
    <t>delta_S</t>
  </si>
  <si>
    <t>S*-S_bar</t>
  </si>
  <si>
    <t>P(S*-S_bar)</t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</si>
  <si>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>*</t>
    </r>
  </si>
  <si>
    <t>Input Required</t>
  </si>
  <si>
    <t>Calculated Quantities</t>
  </si>
  <si>
    <t>Calculated Quantities with Bounds</t>
  </si>
  <si>
    <t>ν23</t>
  </si>
  <si>
    <t>Upper</t>
  </si>
  <si>
    <t>Lower</t>
  </si>
  <si>
    <t>a</t>
  </si>
  <si>
    <t>b</t>
  </si>
  <si>
    <t>g</t>
  </si>
  <si>
    <t>r</t>
  </si>
  <si>
    <t>Intermediate Values</t>
  </si>
  <si>
    <t>Fibre</t>
  </si>
  <si>
    <t>Matrix</t>
  </si>
  <si>
    <t>Original Coordinate</t>
  </si>
  <si>
    <t>x</t>
  </si>
  <si>
    <t>New Coordinates</t>
  </si>
  <si>
    <t>Normalised Basis</t>
  </si>
  <si>
    <t>L</t>
  </si>
  <si>
    <t>A</t>
  </si>
  <si>
    <t>AW</t>
  </si>
  <si>
    <t>xx</t>
  </si>
  <si>
    <t>yy</t>
  </si>
  <si>
    <t>zz</t>
  </si>
  <si>
    <t>yz</t>
  </si>
  <si>
    <t>zx</t>
  </si>
  <si>
    <t>xy</t>
  </si>
  <si>
    <t>Calculated</t>
  </si>
  <si>
    <t>Published</t>
  </si>
  <si>
    <t>Resin</t>
  </si>
  <si>
    <t>T300</t>
  </si>
  <si>
    <t>3900-2</t>
  </si>
  <si>
    <r>
      <rPr>
        <b/>
        <sz val="11"/>
        <color rgb="FF3F3F76"/>
        <rFont val="Symbol"/>
        <family val="1"/>
        <charset val="2"/>
      </rPr>
      <t>D</t>
    </r>
    <r>
      <rPr>
        <b/>
        <sz val="11"/>
        <color rgb="FF3F3F76"/>
        <rFont val="Calibri"/>
        <family val="2"/>
        <scheme val="minor"/>
      </rPr>
      <t xml:space="preserve"> (%)</t>
    </r>
  </si>
  <si>
    <t xml:space="preserve">    #********#</t>
  </si>
  <si>
    <t xml:space="preserve">    # lamina #</t>
  </si>
  <si>
    <t xml:space="preserve">    # name</t>
  </si>
  <si>
    <t xml:space="preserve">    </t>
  </si>
  <si>
    <t xml:space="preserve">    # volume fraction</t>
  </si>
  <si>
    <t xml:space="preserve">    # youngs modulus</t>
  </si>
  <si>
    <t xml:space="preserve">    # shear modulus</t>
  </si>
  <si>
    <t xml:space="preserve">    # poissons ratio</t>
  </si>
  <si>
    <t xml:space="preserve">    # thermal expansion coefficient</t>
  </si>
  <si>
    <t xml:space="preserve">    #*******#</t>
  </si>
  <si>
    <t xml:space="preserve">    # fibre #</t>
  </si>
  <si>
    <t xml:space="preserve">    # resin #</t>
  </si>
  <si>
    <t xml:space="preserve">    mat_name = "</t>
  </si>
  <si>
    <t>"</t>
  </si>
  <si>
    <t xml:space="preserve">    vf=</t>
  </si>
  <si>
    <t>e3</t>
  </si>
  <si>
    <t xml:space="preserve">    young_l1=</t>
  </si>
  <si>
    <t xml:space="preserve">    young_l2=</t>
  </si>
  <si>
    <t xml:space="preserve">    shear_l12=</t>
  </si>
  <si>
    <t xml:space="preserve">    shear_l23=</t>
  </si>
  <si>
    <t>e-6</t>
  </si>
  <si>
    <t xml:space="preserve">    alpha_l1=</t>
  </si>
  <si>
    <t xml:space="preserve">    alpha_l2=</t>
  </si>
  <si>
    <t xml:space="preserve">    nu_l23=</t>
  </si>
  <si>
    <t xml:space="preserve">    nu_l12=</t>
  </si>
  <si>
    <t xml:space="preserve">    young_f1=</t>
  </si>
  <si>
    <t xml:space="preserve">    young_f2=</t>
  </si>
  <si>
    <t xml:space="preserve">    shear_f12=</t>
  </si>
  <si>
    <t xml:space="preserve">    shear_f23=</t>
  </si>
  <si>
    <t xml:space="preserve">    nu_f12=</t>
  </si>
  <si>
    <t xml:space="preserve">    nu_f23=</t>
  </si>
  <si>
    <t xml:space="preserve">    alpha_f1=</t>
  </si>
  <si>
    <t xml:space="preserve">    alpha_f2=</t>
  </si>
  <si>
    <t xml:space="preserve">    nu_m=</t>
  </si>
  <si>
    <t xml:space="preserve">    young_m=</t>
  </si>
  <si>
    <t xml:space="preserve">    alpha_m=</t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</si>
  <si>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t </t>
    </r>
    <r>
      <rPr>
        <sz val="11"/>
        <color theme="1"/>
        <rFont val="Calibri"/>
        <family val="2"/>
        <scheme val="minor"/>
      </rPr>
      <t>(GPa)</t>
    </r>
  </si>
  <si>
    <r>
      <t>G</t>
    </r>
    <r>
      <rPr>
        <vertAlign val="subscript"/>
        <sz val="11"/>
        <color theme="1"/>
        <rFont val="Calibri"/>
        <family val="2"/>
        <scheme val="minor"/>
      </rPr>
      <t xml:space="preserve">l </t>
    </r>
    <r>
      <rPr>
        <sz val="11"/>
        <color theme="1"/>
        <rFont val="Calibri"/>
        <family val="2"/>
        <scheme val="minor"/>
      </rPr>
      <t>(GPa)</t>
    </r>
  </si>
  <si>
    <r>
      <t>E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(GPa)</t>
    </r>
  </si>
  <si>
    <r>
      <t>ν</t>
    </r>
    <r>
      <rPr>
        <vertAlign val="subscript"/>
        <sz val="11"/>
        <color theme="1"/>
        <rFont val="Calibri"/>
        <family val="2"/>
      </rPr>
      <t>l</t>
    </r>
  </si>
  <si>
    <r>
      <t>ν</t>
    </r>
    <r>
      <rPr>
        <vertAlign val="subscript"/>
        <sz val="11"/>
        <color theme="1"/>
        <rFont val="Calibri"/>
        <family val="2"/>
      </rPr>
      <t>t</t>
    </r>
  </si>
  <si>
    <r>
      <t>α</t>
    </r>
    <r>
      <rPr>
        <vertAlign val="subscript"/>
        <sz val="11"/>
        <color theme="1"/>
        <rFont val="Calibri"/>
        <family val="2"/>
      </rPr>
      <t xml:space="preserve">l </t>
    </r>
    <r>
      <rPr>
        <sz val="11"/>
        <color theme="1"/>
        <rFont val="Calibri"/>
        <family val="2"/>
      </rPr>
      <t>(/</t>
    </r>
    <r>
      <rPr>
        <vertAlign val="super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>C)</t>
    </r>
  </si>
  <si>
    <r>
      <t>α</t>
    </r>
    <r>
      <rPr>
        <vertAlign val="subscript"/>
        <sz val="11"/>
        <color theme="1"/>
        <rFont val="Calibri"/>
        <family val="2"/>
      </rPr>
      <t xml:space="preserve">t </t>
    </r>
    <r>
      <rPr>
        <sz val="11"/>
        <color theme="1"/>
        <rFont val="Calibri"/>
        <family val="2"/>
      </rPr>
      <t>(/</t>
    </r>
    <r>
      <rPr>
        <vertAlign val="super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>C)</t>
    </r>
  </si>
  <si>
    <t>T800</t>
  </si>
  <si>
    <t>HTS40</t>
  </si>
  <si>
    <t>E-Glass</t>
  </si>
  <si>
    <r>
      <t>α (/</t>
    </r>
    <r>
      <rPr>
        <vertAlign val="super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>C)</t>
    </r>
  </si>
  <si>
    <t>ν</t>
  </si>
  <si>
    <t>E (GPa)</t>
  </si>
  <si>
    <t>CYCOM970</t>
  </si>
  <si>
    <t>RTM6</t>
  </si>
  <si>
    <r>
      <t>Tg (</t>
    </r>
    <r>
      <rPr>
        <sz val="11"/>
        <color theme="1"/>
        <rFont val="Arial"/>
        <family val="2"/>
      </rPr>
      <t>°</t>
    </r>
    <r>
      <rPr>
        <sz val="11"/>
        <color theme="1"/>
        <rFont val="Calibri"/>
        <family val="2"/>
      </rPr>
      <t>C)</t>
    </r>
  </si>
  <si>
    <t>T300/CYCOM970</t>
  </si>
  <si>
    <t>Measured/
Published</t>
  </si>
  <si>
    <t>UD (or Fabric Tow)</t>
  </si>
  <si>
    <t>Fabric Ply</t>
  </si>
  <si>
    <t>xy plane</t>
  </si>
  <si>
    <r>
      <t>ν</t>
    </r>
    <r>
      <rPr>
        <vertAlign val="subscript"/>
        <sz val="11"/>
        <color theme="1"/>
        <rFont val="Calibri"/>
        <family val="2"/>
      </rPr>
      <t>21</t>
    </r>
  </si>
  <si>
    <r>
      <t>ν</t>
    </r>
    <r>
      <rPr>
        <vertAlign val="subscript"/>
        <sz val="11"/>
        <color theme="1"/>
        <rFont val="Calibri"/>
        <family val="2"/>
      </rPr>
      <t>32</t>
    </r>
  </si>
  <si>
    <r>
      <t>ν</t>
    </r>
    <r>
      <rPr>
        <vertAlign val="subscript"/>
        <sz val="11"/>
        <color theme="1"/>
        <rFont val="Calibri"/>
        <family val="2"/>
      </rPr>
      <t>31</t>
    </r>
  </si>
  <si>
    <r>
      <t>ν</t>
    </r>
    <r>
      <rPr>
        <vertAlign val="subscript"/>
        <sz val="11"/>
        <color theme="1"/>
        <rFont val="Calibri"/>
        <family val="2"/>
      </rPr>
      <t>pe</t>
    </r>
  </si>
  <si>
    <t>G23</t>
  </si>
  <si>
    <t>G31</t>
  </si>
  <si>
    <t>G12</t>
  </si>
  <si>
    <t>G32</t>
  </si>
  <si>
    <t>G13</t>
  </si>
  <si>
    <t>G21</t>
  </si>
  <si>
    <t>G12 mixed</t>
  </si>
  <si>
    <t>G23 mixed</t>
  </si>
  <si>
    <t>G13 mixed</t>
  </si>
  <si>
    <t>Laminate</t>
  </si>
  <si>
    <t>Test</t>
  </si>
  <si>
    <t>Expected</t>
  </si>
  <si>
    <r>
      <t>G</t>
    </r>
    <r>
      <rPr>
        <vertAlign val="subscript"/>
        <sz val="11"/>
        <color theme="1"/>
        <rFont val="Calibri"/>
        <family val="2"/>
        <scheme val="minor"/>
      </rPr>
      <t xml:space="preserve">lt </t>
    </r>
    <r>
      <rPr>
        <sz val="11"/>
        <color theme="1"/>
        <rFont val="Calibri"/>
        <family val="2"/>
        <scheme val="minor"/>
      </rPr>
      <t>(GPa)</t>
    </r>
  </si>
  <si>
    <r>
      <t>G</t>
    </r>
    <r>
      <rPr>
        <vertAlign val="subscript"/>
        <sz val="11"/>
        <color theme="1"/>
        <rFont val="Calibri"/>
        <family val="2"/>
        <scheme val="minor"/>
      </rPr>
      <t xml:space="preserve">tt </t>
    </r>
    <r>
      <rPr>
        <sz val="11"/>
        <color theme="1"/>
        <rFont val="Calibri"/>
        <family val="2"/>
        <scheme val="minor"/>
      </rPr>
      <t>(GPa)</t>
    </r>
  </si>
  <si>
    <r>
      <t>ν</t>
    </r>
    <r>
      <rPr>
        <vertAlign val="subscript"/>
        <sz val="11"/>
        <color theme="1"/>
        <rFont val="Calibri"/>
        <family val="2"/>
      </rPr>
      <t>lt</t>
    </r>
  </si>
  <si>
    <r>
      <t>ν</t>
    </r>
    <r>
      <rPr>
        <vertAlign val="subscript"/>
        <sz val="11"/>
        <color theme="1"/>
        <rFont val="Calibri"/>
        <family val="2"/>
      </rPr>
      <t>tt</t>
    </r>
  </si>
  <si>
    <t>Test/Test</t>
  </si>
  <si>
    <t>Cycom970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</si>
</sst>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E+00"/>
    <numFmt numFmtId="166" formatCode="0.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1"/>
      <color rgb="FF3F3F76"/>
      <name val="Symbol"/>
      <family val="1"/>
      <charset val="2"/>
    </font>
    <font>
      <sz val="11"/>
      <color theme="1"/>
      <name val="Courier"/>
      <family val="3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5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</borders>
  <cellStyleXfs count="5">
    <xf numFmtId="0" fontId="0" fillId="0" borderId="0"/>
    <xf numFmtId="9" fontId="5" fillId="0" borderId="0" applyFont="0" applyFill="0" applyBorder="0" applyAlignment="0" applyProtection="0"/>
    <xf numFmtId="0" fontId="6" fillId="3" borderId="1" applyNumberFormat="0" applyAlignment="0" applyProtection="0"/>
    <xf numFmtId="0" fontId="7" fillId="2" borderId="2" applyNumberFormat="0" applyAlignment="0"/>
    <xf numFmtId="0" fontId="12" fillId="2" borderId="1" applyNumberFormat="0" applyAlignment="0"/>
  </cellStyleXfs>
  <cellXfs count="125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/>
    <xf numFmtId="0" fontId="1" fillId="0" borderId="8" xfId="0" applyFont="1" applyBorder="1"/>
    <xf numFmtId="0" fontId="0" fillId="0" borderId="9" xfId="0" applyBorder="1"/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10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9" fontId="0" fillId="0" borderId="4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1" fontId="0" fillId="0" borderId="10" xfId="0" applyNumberFormat="1" applyBorder="1" applyAlignment="1">
      <alignment horizontal="center" vertical="center"/>
    </xf>
    <xf numFmtId="11" fontId="7" fillId="2" borderId="6" xfId="3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1" fontId="7" fillId="2" borderId="2" xfId="3" applyNumberFormat="1" applyBorder="1" applyAlignment="1">
      <alignment horizontal="center" vertical="center"/>
    </xf>
    <xf numFmtId="0" fontId="8" fillId="0" borderId="0" xfId="0" applyFont="1"/>
    <xf numFmtId="2" fontId="7" fillId="2" borderId="21" xfId="3" applyNumberFormat="1" applyBorder="1" applyAlignment="1">
      <alignment horizontal="center" vertical="center"/>
    </xf>
    <xf numFmtId="2" fontId="7" fillId="2" borderId="22" xfId="3" applyNumberFormat="1" applyBorder="1" applyAlignment="1">
      <alignment horizontal="center" vertical="center"/>
    </xf>
    <xf numFmtId="2" fontId="7" fillId="2" borderId="23" xfId="3" applyNumberFormat="1" applyBorder="1" applyAlignment="1">
      <alignment horizontal="center" vertical="center"/>
    </xf>
    <xf numFmtId="0" fontId="0" fillId="0" borderId="16" xfId="0" applyBorder="1"/>
    <xf numFmtId="0" fontId="0" fillId="0" borderId="10" xfId="0" applyFill="1" applyBorder="1"/>
    <xf numFmtId="0" fontId="0" fillId="0" borderId="13" xfId="0" applyFill="1" applyBorder="1"/>
    <xf numFmtId="165" fontId="7" fillId="2" borderId="24" xfId="3" applyNumberFormat="1" applyBorder="1" applyAlignment="1">
      <alignment horizontal="center" vertical="center"/>
    </xf>
    <xf numFmtId="165" fontId="7" fillId="2" borderId="15" xfId="3" applyNumberFormat="1" applyBorder="1" applyAlignment="1">
      <alignment horizontal="center" vertical="center"/>
    </xf>
    <xf numFmtId="165" fontId="7" fillId="2" borderId="25" xfId="3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6" borderId="12" xfId="2" applyFill="1" applyBorder="1" applyAlignment="1">
      <alignment horizontal="center" vertical="center" wrapText="1"/>
    </xf>
    <xf numFmtId="0" fontId="6" fillId="6" borderId="13" xfId="2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11" fillId="0" borderId="0" xfId="0" applyFont="1"/>
    <xf numFmtId="0" fontId="0" fillId="0" borderId="0" xfId="0"/>
    <xf numFmtId="0" fontId="0" fillId="0" borderId="0" xfId="0" quotePrefix="1"/>
    <xf numFmtId="0" fontId="0" fillId="0" borderId="29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Alignment="1">
      <alignment horizontal="center"/>
    </xf>
    <xf numFmtId="0" fontId="6" fillId="3" borderId="3" xfId="2" applyBorder="1" applyAlignment="1">
      <alignment horizontal="center"/>
    </xf>
    <xf numFmtId="0" fontId="6" fillId="6" borderId="11" xfId="2" applyFill="1" applyBorder="1" applyAlignment="1">
      <alignment horizontal="center" vertical="center" wrapText="1"/>
    </xf>
    <xf numFmtId="9" fontId="0" fillId="0" borderId="6" xfId="1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6" fillId="6" borderId="19" xfId="2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2" fontId="7" fillId="2" borderId="36" xfId="3" applyNumberFormat="1" applyBorder="1" applyAlignment="1">
      <alignment horizontal="center" vertical="center"/>
    </xf>
    <xf numFmtId="0" fontId="7" fillId="2" borderId="2" xfId="3" applyBorder="1" applyAlignment="1">
      <alignment horizontal="center" vertical="center"/>
    </xf>
    <xf numFmtId="9" fontId="0" fillId="0" borderId="10" xfId="1" applyFont="1" applyBorder="1" applyAlignment="1">
      <alignment horizontal="center" vertical="center"/>
    </xf>
    <xf numFmtId="2" fontId="7" fillId="4" borderId="36" xfId="3" applyNumberFormat="1" applyFill="1" applyBorder="1" applyAlignment="1">
      <alignment horizontal="center" vertical="center"/>
    </xf>
    <xf numFmtId="11" fontId="7" fillId="2" borderId="36" xfId="3" applyNumberFormat="1" applyBorder="1" applyAlignment="1">
      <alignment horizontal="center" vertical="center"/>
    </xf>
    <xf numFmtId="2" fontId="7" fillId="2" borderId="19" xfId="3" applyNumberFormat="1" applyBorder="1" applyAlignment="1">
      <alignment horizontal="center" vertical="center"/>
    </xf>
    <xf numFmtId="0" fontId="6" fillId="6" borderId="37" xfId="2" applyFill="1" applyBorder="1" applyAlignment="1">
      <alignment horizontal="center" vertical="center"/>
    </xf>
    <xf numFmtId="0" fontId="6" fillId="3" borderId="38" xfId="2" applyBorder="1" applyAlignment="1">
      <alignment horizontal="center" vertical="center"/>
    </xf>
    <xf numFmtId="0" fontId="6" fillId="3" borderId="39" xfId="2" applyBorder="1" applyAlignment="1">
      <alignment horizontal="center" vertical="center"/>
    </xf>
    <xf numFmtId="2" fontId="7" fillId="2" borderId="32" xfId="3" applyNumberFormat="1" applyBorder="1" applyAlignment="1">
      <alignment horizontal="center" vertical="center"/>
    </xf>
    <xf numFmtId="11" fontId="7" fillId="2" borderId="32" xfId="3" applyNumberFormat="1" applyBorder="1" applyAlignment="1">
      <alignment horizontal="center" vertical="center"/>
    </xf>
    <xf numFmtId="2" fontId="7" fillId="2" borderId="34" xfId="3" applyNumberFormat="1" applyBorder="1" applyAlignment="1">
      <alignment horizontal="center" vertical="center"/>
    </xf>
    <xf numFmtId="0" fontId="6" fillId="6" borderId="40" xfId="2" applyFill="1" applyBorder="1" applyAlignment="1">
      <alignment horizontal="center" vertical="center"/>
    </xf>
    <xf numFmtId="0" fontId="6" fillId="3" borderId="9" xfId="2" applyBorder="1" applyAlignment="1">
      <alignment horizontal="center" vertical="center"/>
    </xf>
    <xf numFmtId="0" fontId="7" fillId="2" borderId="41" xfId="3" applyBorder="1" applyAlignment="1">
      <alignment horizontal="center" vertical="center"/>
    </xf>
    <xf numFmtId="2" fontId="7" fillId="2" borderId="25" xfId="3" applyNumberForma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" fillId="0" borderId="38" xfId="0" applyFont="1" applyFill="1" applyBorder="1" applyAlignment="1">
      <alignment horizontal="center"/>
    </xf>
    <xf numFmtId="0" fontId="6" fillId="3" borderId="3" xfId="2" applyBorder="1"/>
    <xf numFmtId="11" fontId="6" fillId="3" borderId="3" xfId="2" applyNumberFormat="1" applyBorder="1"/>
    <xf numFmtId="0" fontId="6" fillId="3" borderId="17" xfId="2" applyBorder="1" applyAlignment="1">
      <alignment horizontal="center"/>
    </xf>
    <xf numFmtId="0" fontId="6" fillId="3" borderId="20" xfId="2" applyBorder="1" applyAlignment="1">
      <alignment horizontal="center"/>
    </xf>
    <xf numFmtId="0" fontId="6" fillId="3" borderId="10" xfId="2" applyBorder="1"/>
    <xf numFmtId="11" fontId="6" fillId="3" borderId="20" xfId="2" applyNumberFormat="1" applyBorder="1" applyAlignment="1">
      <alignment horizontal="center"/>
    </xf>
    <xf numFmtId="0" fontId="6" fillId="3" borderId="19" xfId="2" applyBorder="1" applyAlignment="1">
      <alignment horizontal="center"/>
    </xf>
    <xf numFmtId="0" fontId="6" fillId="3" borderId="12" xfId="2" applyBorder="1"/>
    <xf numFmtId="0" fontId="6" fillId="3" borderId="46" xfId="2" applyBorder="1" applyAlignment="1">
      <alignment horizontal="center"/>
    </xf>
    <xf numFmtId="0" fontId="6" fillId="3" borderId="5" xfId="2" applyBorder="1"/>
    <xf numFmtId="0" fontId="6" fillId="3" borderId="47" xfId="2" applyBorder="1" applyAlignment="1">
      <alignment horizontal="center"/>
    </xf>
    <xf numFmtId="0" fontId="6" fillId="3" borderId="30" xfId="2" applyBorder="1" applyAlignment="1">
      <alignment horizontal="center"/>
    </xf>
    <xf numFmtId="0" fontId="6" fillId="3" borderId="31" xfId="2" applyBorder="1" applyAlignment="1">
      <alignment horizontal="center"/>
    </xf>
    <xf numFmtId="0" fontId="0" fillId="0" borderId="45" xfId="0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6" fillId="3" borderId="48" xfId="2" applyBorder="1" applyAlignment="1">
      <alignment horizontal="center"/>
    </xf>
    <xf numFmtId="0" fontId="6" fillId="3" borderId="49" xfId="2" applyBorder="1" applyAlignment="1">
      <alignment horizontal="center"/>
    </xf>
    <xf numFmtId="0" fontId="6" fillId="3" borderId="50" xfId="2" applyBorder="1" applyAlignment="1">
      <alignment horizontal="center"/>
    </xf>
    <xf numFmtId="0" fontId="6" fillId="3" borderId="18" xfId="2" applyBorder="1"/>
    <xf numFmtId="0" fontId="6" fillId="3" borderId="16" xfId="2" applyBorder="1"/>
    <xf numFmtId="0" fontId="6" fillId="3" borderId="10" xfId="2" applyBorder="1" applyAlignment="1">
      <alignment horizontal="center"/>
    </xf>
    <xf numFmtId="0" fontId="6" fillId="3" borderId="12" xfId="2" applyBorder="1" applyAlignment="1">
      <alignment horizontal="center"/>
    </xf>
    <xf numFmtId="0" fontId="6" fillId="3" borderId="13" xfId="2" applyBorder="1" applyAlignment="1">
      <alignment horizontal="center"/>
    </xf>
    <xf numFmtId="0" fontId="6" fillId="3" borderId="18" xfId="2" applyNumberFormat="1" applyBorder="1" applyAlignment="1">
      <alignment horizontal="center" vertical="center"/>
    </xf>
    <xf numFmtId="0" fontId="6" fillId="3" borderId="3" xfId="2" applyNumberFormat="1" applyBorder="1" applyAlignment="1">
      <alignment horizontal="center" vertical="center"/>
    </xf>
    <xf numFmtId="0" fontId="6" fillId="3" borderId="12" xfId="2" applyNumberFormat="1" applyBorder="1" applyAlignment="1">
      <alignment horizontal="center" vertical="center"/>
    </xf>
    <xf numFmtId="166" fontId="7" fillId="2" borderId="2" xfId="3" applyNumberFormat="1"/>
    <xf numFmtId="2" fontId="7" fillId="2" borderId="2" xfId="3" applyNumberFormat="1"/>
    <xf numFmtId="2" fontId="6" fillId="3" borderId="20" xfId="2" applyNumberFormat="1" applyBorder="1" applyAlignment="1">
      <alignment horizontal="center"/>
    </xf>
    <xf numFmtId="164" fontId="6" fillId="3" borderId="20" xfId="2" applyNumberFormat="1" applyBorder="1" applyAlignment="1">
      <alignment horizontal="center"/>
    </xf>
    <xf numFmtId="164" fontId="6" fillId="3" borderId="17" xfId="2" applyNumberFormat="1" applyBorder="1" applyAlignment="1">
      <alignment horizontal="center"/>
    </xf>
    <xf numFmtId="2" fontId="7" fillId="2" borderId="2" xfId="3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0" fontId="6" fillId="3" borderId="3" xfId="2" applyBorder="1" applyAlignment="1">
      <alignment horizontal="center"/>
    </xf>
    <xf numFmtId="0" fontId="7" fillId="2" borderId="51" xfId="3" applyBorder="1" applyAlignment="1">
      <alignment horizontal="center" vertical="center"/>
    </xf>
    <xf numFmtId="0" fontId="7" fillId="2" borderId="52" xfId="3" applyBorder="1" applyAlignment="1">
      <alignment horizontal="center" vertical="center"/>
    </xf>
    <xf numFmtId="0" fontId="7" fillId="2" borderId="53" xfId="3" applyBorder="1" applyAlignment="1">
      <alignment horizontal="center" vertical="center"/>
    </xf>
    <xf numFmtId="0" fontId="6" fillId="6" borderId="17" xfId="2" applyFill="1" applyBorder="1" applyAlignment="1">
      <alignment horizontal="center" vertical="center" wrapText="1"/>
    </xf>
    <xf numFmtId="0" fontId="6" fillId="6" borderId="18" xfId="2" applyFill="1" applyBorder="1" applyAlignment="1">
      <alignment horizontal="center" vertical="center" wrapText="1"/>
    </xf>
    <xf numFmtId="0" fontId="6" fillId="6" borderId="16" xfId="2" applyFill="1" applyBorder="1" applyAlignment="1">
      <alignment horizontal="center" vertical="center" wrapText="1"/>
    </xf>
    <xf numFmtId="0" fontId="6" fillId="6" borderId="33" xfId="2" applyFill="1" applyBorder="1" applyAlignment="1">
      <alignment horizontal="center" vertical="center" wrapText="1"/>
    </xf>
    <xf numFmtId="0" fontId="7" fillId="2" borderId="3" xfId="3" applyBorder="1" applyAlignment="1">
      <alignment horizontal="center"/>
    </xf>
    <xf numFmtId="0" fontId="7" fillId="5" borderId="3" xfId="3" applyFill="1" applyBorder="1" applyAlignment="1">
      <alignment horizontal="center"/>
    </xf>
    <xf numFmtId="0" fontId="7" fillId="2" borderId="42" xfId="3" applyBorder="1" applyAlignment="1">
      <alignment horizontal="center" vertical="center"/>
    </xf>
    <xf numFmtId="2" fontId="7" fillId="2" borderId="42" xfId="3" applyNumberFormat="1" applyBorder="1" applyAlignment="1">
      <alignment horizontal="center" vertical="center"/>
    </xf>
    <xf numFmtId="11" fontId="7" fillId="2" borderId="42" xfId="3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5">
    <cellStyle name="Calculation" xfId="4" builtinId="22" customBuiltin="1"/>
    <cellStyle name="Input" xfId="2" builtinId="20" customBuiltin="1"/>
    <cellStyle name="Normal" xfId="0" builtinId="0"/>
    <cellStyle name="Output" xfId="3" builtinId="21" customBuiltin="1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6"/>
  <sheetViews>
    <sheetView workbookViewId="0">
      <selection activeCell="D23" sqref="D23"/>
    </sheetView>
    <sheetView workbookViewId="1"/>
  </sheetViews>
  <sheetFormatPr defaultRowHeight="15" x14ac:dyDescent="0.25"/>
  <cols>
    <col min="1" max="1" width="15.7109375" style="35" bestFit="1" customWidth="1"/>
    <col min="2" max="2" width="11.7109375" bestFit="1" customWidth="1"/>
    <col min="8" max="8" width="10.7109375" bestFit="1" customWidth="1"/>
    <col min="12" max="12" width="12" bestFit="1" customWidth="1"/>
  </cols>
  <sheetData>
    <row r="1" spans="1:13" ht="15.75" thickBot="1" x14ac:dyDescent="0.3">
      <c r="A1" s="43" t="s">
        <v>13</v>
      </c>
      <c r="B1" s="87" t="s">
        <v>60</v>
      </c>
      <c r="C1" s="88" t="s">
        <v>106</v>
      </c>
      <c r="D1" s="88" t="s">
        <v>107</v>
      </c>
      <c r="E1" s="88" t="s">
        <v>108</v>
      </c>
      <c r="F1" s="88"/>
      <c r="G1" s="88"/>
      <c r="H1" s="89" t="s">
        <v>134</v>
      </c>
    </row>
    <row r="2" spans="1:13" ht="18" x14ac:dyDescent="0.35">
      <c r="A2" s="69" t="s">
        <v>101</v>
      </c>
      <c r="B2" s="74">
        <v>230</v>
      </c>
      <c r="C2" s="95">
        <v>303</v>
      </c>
      <c r="D2" s="90"/>
      <c r="E2" s="90"/>
      <c r="F2" s="90"/>
      <c r="G2" s="90"/>
      <c r="H2" s="102">
        <v>225</v>
      </c>
    </row>
    <row r="3" spans="1:13" ht="18" x14ac:dyDescent="0.35">
      <c r="A3" s="85" t="s">
        <v>99</v>
      </c>
      <c r="B3" s="75">
        <v>12</v>
      </c>
      <c r="C3" s="96">
        <v>15.2</v>
      </c>
      <c r="D3" s="72"/>
      <c r="E3" s="72"/>
      <c r="F3" s="72"/>
      <c r="G3" s="72"/>
      <c r="H3" s="101">
        <v>13</v>
      </c>
    </row>
    <row r="4" spans="1:13" ht="18" x14ac:dyDescent="0.35">
      <c r="A4" s="85" t="s">
        <v>100</v>
      </c>
      <c r="B4" s="77">
        <v>9.85</v>
      </c>
      <c r="C4" s="96">
        <v>4</v>
      </c>
      <c r="D4" s="72"/>
      <c r="E4" s="72"/>
      <c r="F4" s="72"/>
      <c r="G4" s="72"/>
      <c r="H4" s="100">
        <f>'Extended Tensor'!B11</f>
        <v>6.622479167137147</v>
      </c>
      <c r="J4" s="41"/>
      <c r="K4" s="41"/>
      <c r="L4" s="41"/>
      <c r="M4" s="41"/>
    </row>
    <row r="5" spans="1:13" ht="18" x14ac:dyDescent="0.35">
      <c r="A5" s="70" t="s">
        <v>102</v>
      </c>
      <c r="B5" s="75">
        <v>0.17</v>
      </c>
      <c r="C5" s="96">
        <v>0.2</v>
      </c>
      <c r="D5" s="72"/>
      <c r="E5" s="72"/>
      <c r="F5" s="72"/>
      <c r="G5" s="72"/>
      <c r="H5" s="100">
        <v>0.18</v>
      </c>
      <c r="J5" s="41"/>
      <c r="K5" s="41"/>
      <c r="L5" s="41"/>
      <c r="M5" s="41"/>
    </row>
    <row r="6" spans="1:13" ht="18" x14ac:dyDescent="0.35">
      <c r="A6" s="70" t="s">
        <v>103</v>
      </c>
      <c r="B6" s="75">
        <v>0.3</v>
      </c>
      <c r="C6" s="96">
        <v>0.25</v>
      </c>
      <c r="D6" s="46"/>
      <c r="E6" s="46"/>
      <c r="F6" s="46"/>
      <c r="G6" s="46"/>
      <c r="H6" s="100">
        <v>0.32</v>
      </c>
      <c r="J6" s="41"/>
      <c r="K6" s="41"/>
      <c r="L6" s="41"/>
      <c r="M6" s="41"/>
    </row>
    <row r="7" spans="1:13" ht="18.75" x14ac:dyDescent="0.35">
      <c r="A7" s="70" t="s">
        <v>104</v>
      </c>
      <c r="B7" s="75">
        <v>-5.4000000000000002E-7</v>
      </c>
      <c r="C7" s="96">
        <v>0</v>
      </c>
      <c r="D7" s="72"/>
      <c r="E7" s="72"/>
      <c r="F7" s="72"/>
      <c r="G7" s="72"/>
      <c r="H7" s="75">
        <v>-5.4000000000000002E-7</v>
      </c>
      <c r="J7" s="41"/>
      <c r="K7" s="41"/>
      <c r="L7" s="41"/>
      <c r="M7" s="41"/>
    </row>
    <row r="8" spans="1:13" ht="19.5" thickBot="1" x14ac:dyDescent="0.4">
      <c r="A8" s="86" t="s">
        <v>105</v>
      </c>
      <c r="B8" s="78">
        <v>-2.2500000000000001E-5</v>
      </c>
      <c r="C8" s="97">
        <v>8.3000000000000002E-6</v>
      </c>
      <c r="D8" s="79"/>
      <c r="E8" s="79"/>
      <c r="F8" s="79"/>
      <c r="G8" s="79"/>
      <c r="H8" s="78">
        <v>-7.6640150122506655E-6</v>
      </c>
      <c r="J8" s="41"/>
      <c r="K8" s="41"/>
      <c r="L8" s="41"/>
      <c r="M8" s="41"/>
    </row>
    <row r="9" spans="1:13" x14ac:dyDescent="0.25">
      <c r="J9" s="41"/>
      <c r="K9" s="41"/>
      <c r="L9" s="41"/>
      <c r="M9" s="41"/>
    </row>
    <row r="10" spans="1:13" x14ac:dyDescent="0.25">
      <c r="J10" s="41"/>
      <c r="K10" s="41"/>
      <c r="L10" s="41"/>
      <c r="M10" s="41"/>
    </row>
    <row r="11" spans="1:13" x14ac:dyDescent="0.25">
      <c r="A11" s="105" t="s">
        <v>31</v>
      </c>
      <c r="B11" s="105"/>
      <c r="C11" s="105"/>
      <c r="J11" s="41"/>
      <c r="K11" s="41"/>
      <c r="L11" s="41"/>
      <c r="M11" s="41"/>
    </row>
    <row r="12" spans="1:13" x14ac:dyDescent="0.25">
      <c r="J12" s="41"/>
      <c r="K12" s="41"/>
      <c r="L12" s="41"/>
      <c r="M12" s="41"/>
    </row>
    <row r="13" spans="1:13" x14ac:dyDescent="0.25">
      <c r="J13" s="41"/>
      <c r="K13" s="41"/>
      <c r="L13" s="41"/>
      <c r="M13" s="41"/>
    </row>
    <row r="14" spans="1:13" x14ac:dyDescent="0.25">
      <c r="A14"/>
      <c r="J14" s="41"/>
      <c r="K14" s="41"/>
      <c r="L14" s="41"/>
      <c r="M14" s="41"/>
    </row>
    <row r="15" spans="1:13" x14ac:dyDescent="0.25">
      <c r="A15"/>
      <c r="J15" s="41"/>
      <c r="K15" s="41"/>
      <c r="L15" s="41"/>
      <c r="M15" s="41"/>
    </row>
    <row r="16" spans="1:13" x14ac:dyDescent="0.25">
      <c r="A16"/>
      <c r="J16" s="41"/>
      <c r="K16" s="41"/>
      <c r="L16" s="41"/>
      <c r="M16" s="41"/>
    </row>
    <row r="17" spans="1:13" x14ac:dyDescent="0.25">
      <c r="A17"/>
      <c r="J17" s="41"/>
      <c r="K17" s="41"/>
      <c r="L17" s="41"/>
      <c r="M17" s="41"/>
    </row>
    <row r="18" spans="1:13" x14ac:dyDescent="0.25">
      <c r="A18"/>
      <c r="J18" s="41"/>
      <c r="K18" s="41"/>
      <c r="L18" s="41"/>
      <c r="M18" s="41"/>
    </row>
    <row r="19" spans="1:13" x14ac:dyDescent="0.25">
      <c r="A19"/>
    </row>
    <row r="20" spans="1:13" x14ac:dyDescent="0.25">
      <c r="A20"/>
    </row>
    <row r="21" spans="1:13" x14ac:dyDescent="0.25">
      <c r="A21"/>
    </row>
    <row r="22" spans="1:13" x14ac:dyDescent="0.25">
      <c r="A22"/>
    </row>
    <row r="23" spans="1:13" x14ac:dyDescent="0.25">
      <c r="A23"/>
    </row>
    <row r="24" spans="1:13" x14ac:dyDescent="0.25">
      <c r="A24"/>
    </row>
    <row r="25" spans="1:13" x14ac:dyDescent="0.25">
      <c r="A25"/>
    </row>
    <row r="26" spans="1:13" x14ac:dyDescent="0.25">
      <c r="A26"/>
    </row>
  </sheetData>
  <mergeCells count="1">
    <mergeCell ref="A11:C1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workbookViewId="0">
      <selection activeCell="H4" sqref="H4"/>
    </sheetView>
    <sheetView workbookViewId="1"/>
  </sheetViews>
  <sheetFormatPr defaultRowHeight="15" x14ac:dyDescent="0.25"/>
  <cols>
    <col min="3" max="3" width="10.42578125" bestFit="1" customWidth="1"/>
  </cols>
  <sheetData>
    <row r="1" spans="1:8" ht="15.75" thickBot="1" x14ac:dyDescent="0.3">
      <c r="A1" s="68" t="s">
        <v>13</v>
      </c>
      <c r="B1" s="82" t="s">
        <v>61</v>
      </c>
      <c r="C1" s="83" t="s">
        <v>112</v>
      </c>
      <c r="D1" s="83" t="s">
        <v>113</v>
      </c>
      <c r="E1" s="83"/>
      <c r="F1" s="83"/>
      <c r="G1" s="83"/>
      <c r="H1" s="84" t="s">
        <v>134</v>
      </c>
    </row>
    <row r="2" spans="1:8" x14ac:dyDescent="0.25">
      <c r="A2" s="69" t="s">
        <v>111</v>
      </c>
      <c r="B2" s="80">
        <v>3.3</v>
      </c>
      <c r="C2" s="81">
        <v>3.44</v>
      </c>
      <c r="D2" s="81"/>
      <c r="E2" s="81"/>
      <c r="F2" s="81"/>
      <c r="G2" s="81"/>
      <c r="H2" s="81">
        <v>3.44</v>
      </c>
    </row>
    <row r="3" spans="1:8" x14ac:dyDescent="0.25">
      <c r="A3" s="70" t="s">
        <v>110</v>
      </c>
      <c r="B3" s="75">
        <v>0.35</v>
      </c>
      <c r="C3" s="72">
        <v>0.38869999999999999</v>
      </c>
      <c r="D3" s="72"/>
      <c r="E3" s="72"/>
      <c r="F3" s="72"/>
      <c r="G3" s="72"/>
      <c r="H3" s="72">
        <v>0.36</v>
      </c>
    </row>
    <row r="4" spans="1:8" ht="17.25" x14ac:dyDescent="0.25">
      <c r="A4" s="70" t="s">
        <v>109</v>
      </c>
      <c r="B4" s="77">
        <v>5.7599999999999997E-5</v>
      </c>
      <c r="C4" s="73">
        <v>8.0550000000000006E-5</v>
      </c>
      <c r="D4" s="72"/>
      <c r="E4" s="72"/>
      <c r="F4" s="72"/>
      <c r="G4" s="72"/>
      <c r="H4" s="73">
        <v>8.0550000000000006E-5</v>
      </c>
    </row>
    <row r="5" spans="1:8" ht="15.75" thickBot="1" x14ac:dyDescent="0.3">
      <c r="A5" s="71" t="s">
        <v>114</v>
      </c>
      <c r="B5" s="78">
        <v>177</v>
      </c>
      <c r="C5" s="79">
        <v>168.2</v>
      </c>
      <c r="D5" s="79"/>
      <c r="E5" s="79"/>
      <c r="F5" s="79"/>
      <c r="G5" s="79"/>
      <c r="H5" s="79">
        <v>168.2</v>
      </c>
    </row>
    <row r="8" spans="1:8" x14ac:dyDescent="0.25">
      <c r="A8" s="105" t="s">
        <v>31</v>
      </c>
      <c r="B8" s="105"/>
      <c r="C8" s="105"/>
    </row>
  </sheetData>
  <mergeCells count="1">
    <mergeCell ref="A8:C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12"/>
  <sheetViews>
    <sheetView workbookViewId="0">
      <selection activeCell="C3" sqref="C3"/>
    </sheetView>
    <sheetView workbookViewId="1"/>
  </sheetViews>
  <sheetFormatPr defaultRowHeight="15" x14ac:dyDescent="0.25"/>
  <cols>
    <col min="1" max="1" width="15.7109375" style="45" bestFit="1" customWidth="1"/>
    <col min="2" max="2" width="15.7109375" style="41" customWidth="1"/>
    <col min="3" max="3" width="16.85546875" style="41" customWidth="1"/>
    <col min="4" max="11" width="9.140625" style="41"/>
    <col min="12" max="12" width="12" style="41" bestFit="1" customWidth="1"/>
    <col min="13" max="16384" width="9.140625" style="41"/>
  </cols>
  <sheetData>
    <row r="1" spans="1:8" ht="15.75" thickBot="1" x14ac:dyDescent="0.3">
      <c r="A1" s="43" t="s">
        <v>13</v>
      </c>
      <c r="B1" s="87" t="s">
        <v>115</v>
      </c>
      <c r="C1" s="88" t="s">
        <v>140</v>
      </c>
      <c r="D1" s="88"/>
      <c r="E1" s="88"/>
      <c r="F1" s="88"/>
      <c r="G1" s="88"/>
      <c r="H1" s="89"/>
    </row>
    <row r="2" spans="1:8" ht="18" x14ac:dyDescent="0.35">
      <c r="A2" s="69" t="s">
        <v>101</v>
      </c>
      <c r="B2" s="74">
        <v>135</v>
      </c>
      <c r="C2" s="102">
        <v>135</v>
      </c>
      <c r="D2" s="90"/>
      <c r="E2" s="90"/>
      <c r="F2" s="90"/>
      <c r="G2" s="90"/>
      <c r="H2" s="91"/>
    </row>
    <row r="3" spans="1:8" ht="18" x14ac:dyDescent="0.35">
      <c r="A3" s="85" t="s">
        <v>99</v>
      </c>
      <c r="B3" s="75">
        <v>7.5</v>
      </c>
      <c r="C3" s="100">
        <v>7.5</v>
      </c>
      <c r="D3" s="72"/>
      <c r="E3" s="72"/>
      <c r="F3" s="72"/>
      <c r="G3" s="72"/>
      <c r="H3" s="76"/>
    </row>
    <row r="4" spans="1:8" ht="18" x14ac:dyDescent="0.35">
      <c r="A4" s="85" t="s">
        <v>136</v>
      </c>
      <c r="B4" s="77">
        <v>3.5</v>
      </c>
      <c r="C4" s="100">
        <v>3.5</v>
      </c>
      <c r="D4" s="72"/>
      <c r="E4" s="72"/>
      <c r="F4" s="72"/>
      <c r="G4" s="72"/>
      <c r="H4" s="76"/>
    </row>
    <row r="5" spans="1:8" ht="18" x14ac:dyDescent="0.35">
      <c r="A5" s="85" t="s">
        <v>137</v>
      </c>
      <c r="B5" s="75">
        <v>2.76</v>
      </c>
      <c r="C5" s="100">
        <f>'Extended Tensor'!E12</f>
        <v>2.5862068965517242</v>
      </c>
      <c r="D5" s="72"/>
      <c r="E5" s="72"/>
      <c r="F5" s="72"/>
      <c r="G5" s="72"/>
      <c r="H5" s="76"/>
    </row>
    <row r="6" spans="1:8" ht="18" x14ac:dyDescent="0.35">
      <c r="A6" s="70" t="s">
        <v>138</v>
      </c>
      <c r="B6" s="75">
        <v>0.25</v>
      </c>
      <c r="C6" s="75">
        <v>0.25</v>
      </c>
      <c r="D6" s="46"/>
      <c r="E6" s="46"/>
      <c r="F6" s="46"/>
      <c r="G6" s="46"/>
      <c r="H6" s="92"/>
    </row>
    <row r="7" spans="1:8" ht="18" x14ac:dyDescent="0.35">
      <c r="A7" s="70" t="s">
        <v>139</v>
      </c>
      <c r="B7" s="75">
        <v>0.45</v>
      </c>
      <c r="C7" s="100">
        <v>0.46555710036665449</v>
      </c>
      <c r="D7" s="72"/>
      <c r="E7" s="72"/>
      <c r="F7" s="72"/>
      <c r="G7" s="72"/>
      <c r="H7" s="76"/>
    </row>
    <row r="8" spans="1:8" ht="18.75" x14ac:dyDescent="0.35">
      <c r="A8" s="70" t="s">
        <v>104</v>
      </c>
      <c r="B8" s="75">
        <v>9.9999999999999995E-8</v>
      </c>
      <c r="C8" s="75">
        <v>9.9999999999999995E-8</v>
      </c>
      <c r="D8" s="72"/>
      <c r="E8" s="72"/>
      <c r="F8" s="72"/>
      <c r="G8" s="72"/>
      <c r="H8" s="76"/>
    </row>
    <row r="9" spans="1:8" ht="19.5" thickBot="1" x14ac:dyDescent="0.4">
      <c r="A9" s="86" t="s">
        <v>105</v>
      </c>
      <c r="B9" s="78">
        <v>2.87E-5</v>
      </c>
      <c r="C9" s="78">
        <v>2.87E-5</v>
      </c>
      <c r="D9" s="93"/>
      <c r="E9" s="93"/>
      <c r="F9" s="93"/>
      <c r="G9" s="93"/>
      <c r="H9" s="94"/>
    </row>
    <row r="12" spans="1:8" x14ac:dyDescent="0.25">
      <c r="A12" s="105" t="s">
        <v>31</v>
      </c>
      <c r="B12" s="105"/>
      <c r="C12" s="105"/>
    </row>
  </sheetData>
  <mergeCells count="1">
    <mergeCell ref="A12:C12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4"/>
  <sheetViews>
    <sheetView tabSelected="1" workbookViewId="0">
      <selection activeCell="B3" sqref="B3"/>
    </sheetView>
    <sheetView workbookViewId="1">
      <selection sqref="A1:A2"/>
    </sheetView>
  </sheetViews>
  <sheetFormatPr defaultRowHeight="15" x14ac:dyDescent="0.25"/>
  <cols>
    <col min="1" max="1" width="17.140625" customWidth="1"/>
    <col min="2" max="2" width="9" style="2" customWidth="1"/>
    <col min="3" max="4" width="10.7109375" style="2" customWidth="1"/>
    <col min="5" max="5" width="10.85546875" style="2" bestFit="1" customWidth="1"/>
    <col min="6" max="6" width="7" style="2" customWidth="1"/>
    <col min="7" max="7" width="10.28515625" style="2" bestFit="1" customWidth="1"/>
    <col min="8" max="8" width="9.85546875" style="2" bestFit="1" customWidth="1"/>
    <col min="9" max="9" width="5.85546875" style="2" bestFit="1" customWidth="1"/>
    <col min="11" max="11" width="14.140625" bestFit="1" customWidth="1"/>
    <col min="12" max="12" width="12.28515625" bestFit="1" customWidth="1"/>
  </cols>
  <sheetData>
    <row r="1" spans="1:13" s="2" customFormat="1" ht="15" customHeight="1" x14ac:dyDescent="0.25">
      <c r="A1" s="118" t="s">
        <v>13</v>
      </c>
      <c r="B1" s="58" t="s">
        <v>42</v>
      </c>
      <c r="C1" s="64" t="s">
        <v>59</v>
      </c>
      <c r="D1" s="109" t="s">
        <v>117</v>
      </c>
      <c r="E1" s="110"/>
      <c r="F1" s="111"/>
      <c r="G1" s="112" t="s">
        <v>118</v>
      </c>
      <c r="H1" s="110"/>
      <c r="I1" s="111"/>
    </row>
    <row r="2" spans="1:13" s="2" customFormat="1" ht="30.75" thickBot="1" x14ac:dyDescent="0.3">
      <c r="A2" s="119"/>
      <c r="B2" s="59" t="s">
        <v>60</v>
      </c>
      <c r="C2" s="65" t="s">
        <v>141</v>
      </c>
      <c r="D2" s="50" t="s">
        <v>57</v>
      </c>
      <c r="E2" s="36" t="s">
        <v>116</v>
      </c>
      <c r="F2" s="37" t="s">
        <v>62</v>
      </c>
      <c r="G2" s="47" t="s">
        <v>57</v>
      </c>
      <c r="H2" s="36" t="s">
        <v>58</v>
      </c>
      <c r="I2" s="37" t="s">
        <v>62</v>
      </c>
    </row>
    <row r="3" spans="1:13" s="2" customFormat="1" x14ac:dyDescent="0.25">
      <c r="A3" s="3" t="s">
        <v>14</v>
      </c>
      <c r="B3" s="60">
        <v>0.6</v>
      </c>
      <c r="C3" s="66">
        <f>1-Vf</f>
        <v>0.4</v>
      </c>
      <c r="D3" s="44"/>
      <c r="E3" s="38"/>
      <c r="F3" s="51"/>
      <c r="G3" s="38"/>
      <c r="H3" s="38"/>
      <c r="I3" s="39"/>
      <c r="K3" s="7"/>
    </row>
    <row r="4" spans="1:13" ht="18" x14ac:dyDescent="0.35">
      <c r="A4" s="4" t="s">
        <v>3</v>
      </c>
      <c r="B4" s="61">
        <f>HLOOKUP(Fibre,Fibres,2,FALSE)</f>
        <v>230</v>
      </c>
      <c r="C4" s="115">
        <f>HLOOKUP(Resin,Resins,2,FALSE)</f>
        <v>3.44</v>
      </c>
      <c r="D4" s="52">
        <f>E1_f*Vf+E_m*Vm+4*(nu12_f-nu_m)^2*Vf*Vm/(Vm/K_f+Vf/K_m+1/G_m)</f>
        <v>139.4237459598059</v>
      </c>
      <c r="E4" s="53">
        <f>HLOOKUP(Fibre&amp;"/"&amp;Resin,Plies,2,FALSE)</f>
        <v>135</v>
      </c>
      <c r="F4" s="54">
        <f>(D4-E4)/E4</f>
        <v>3.2768488591154811E-2</v>
      </c>
      <c r="G4" s="48"/>
      <c r="H4" s="17"/>
      <c r="I4" s="18"/>
      <c r="K4" s="8"/>
      <c r="L4" s="7"/>
      <c r="M4" s="2"/>
    </row>
    <row r="5" spans="1:13" ht="18" x14ac:dyDescent="0.35">
      <c r="A5" s="4" t="s">
        <v>4</v>
      </c>
      <c r="B5" s="61">
        <f>HLOOKUP(Fibre,Fibres,3,FALSE)</f>
        <v>12</v>
      </c>
      <c r="C5" s="115"/>
      <c r="D5" s="55">
        <f>(Bounds!C12+Bounds!C13)/2</f>
        <v>7.5385258121072223</v>
      </c>
      <c r="E5" s="53">
        <f>HLOOKUP(Fibre&amp;"/"&amp;Resin,Plies,3,FALSE)</f>
        <v>7.5</v>
      </c>
      <c r="F5" s="54">
        <f>(D5-E5)/D5</f>
        <v>5.1105233393706814E-3</v>
      </c>
      <c r="G5" s="48"/>
      <c r="H5" s="17"/>
      <c r="I5" s="18"/>
      <c r="K5" s="8"/>
      <c r="L5" s="8"/>
      <c r="M5" s="2"/>
    </row>
    <row r="6" spans="1:13" ht="18" x14ac:dyDescent="0.35">
      <c r="A6" s="4" t="s">
        <v>5</v>
      </c>
      <c r="B6" s="61">
        <f>E2_f</f>
        <v>12</v>
      </c>
      <c r="C6" s="115"/>
      <c r="D6" s="52">
        <f>D5</f>
        <v>7.5385258121072223</v>
      </c>
      <c r="E6" s="53">
        <f>E5</f>
        <v>7.5</v>
      </c>
      <c r="F6" s="54">
        <f t="shared" ref="F6:F15" si="0">(D6-E6)/D6</f>
        <v>5.1105233393706814E-3</v>
      </c>
      <c r="G6" s="48"/>
      <c r="H6" s="17"/>
      <c r="I6" s="18"/>
      <c r="K6" s="8"/>
      <c r="L6" s="8"/>
      <c r="M6" s="2"/>
    </row>
    <row r="7" spans="1:13" ht="18" x14ac:dyDescent="0.35">
      <c r="A7" s="4" t="s">
        <v>6</v>
      </c>
      <c r="B7" s="61">
        <f>HLOOKUP(Fibre,Fibres,4,FALSE)</f>
        <v>9.85</v>
      </c>
      <c r="C7" s="116">
        <f>E_m/(2*(1+nu_m))</f>
        <v>1.2385684453085619</v>
      </c>
      <c r="D7" s="52">
        <f>G_m*(G_m*Vm+G12_f*(1+Vf))/(G_m*(1+Vf)+G12_f*Vm)</f>
        <v>3.3999404011748182</v>
      </c>
      <c r="E7" s="53">
        <f>HLOOKUP(Fibre&amp;"/"&amp;Resin,Plies,4,FALSE)</f>
        <v>3.5</v>
      </c>
      <c r="F7" s="54">
        <f t="shared" si="0"/>
        <v>-2.9429809649194765E-2</v>
      </c>
      <c r="G7" s="48"/>
      <c r="H7" s="17"/>
      <c r="I7" s="18"/>
      <c r="K7" s="8"/>
      <c r="L7" s="8"/>
      <c r="M7" s="2"/>
    </row>
    <row r="8" spans="1:13" ht="18" x14ac:dyDescent="0.35">
      <c r="A8" s="4" t="s">
        <v>7</v>
      </c>
      <c r="B8" s="61">
        <f>E2_f/(2*(1+nu23_f))</f>
        <v>4.615384615384615</v>
      </c>
      <c r="C8" s="116"/>
      <c r="D8" s="55">
        <f>(Bounds!C11+Bounds!C10)/2</f>
        <v>2.5773376009009734</v>
      </c>
      <c r="E8" s="103">
        <f>HLOOKUP(Fibre&amp;"/"&amp;Resin,Plies,5,FALSE)</f>
        <v>2.76</v>
      </c>
      <c r="F8" s="54">
        <f t="shared" si="0"/>
        <v>-7.0872515511810369E-2</v>
      </c>
      <c r="G8" s="48"/>
      <c r="H8" s="17"/>
      <c r="I8" s="18"/>
      <c r="K8" s="8"/>
      <c r="L8" s="8"/>
      <c r="M8" s="2"/>
    </row>
    <row r="9" spans="1:13" ht="18" x14ac:dyDescent="0.35">
      <c r="A9" s="4" t="s">
        <v>8</v>
      </c>
      <c r="B9" s="61">
        <f>G12_f</f>
        <v>9.85</v>
      </c>
      <c r="C9" s="116"/>
      <c r="D9" s="52">
        <f>D7</f>
        <v>3.3999404011748182</v>
      </c>
      <c r="E9" s="53">
        <f>E7</f>
        <v>3.5</v>
      </c>
      <c r="F9" s="54">
        <f t="shared" si="0"/>
        <v>-2.9429809649194765E-2</v>
      </c>
      <c r="G9" s="48"/>
      <c r="H9" s="17"/>
      <c r="I9" s="18"/>
      <c r="K9" s="8"/>
      <c r="L9" s="8"/>
      <c r="M9" s="2"/>
    </row>
    <row r="10" spans="1:13" ht="18" x14ac:dyDescent="0.35">
      <c r="A10" s="5" t="s">
        <v>0</v>
      </c>
      <c r="B10" s="61">
        <f>HLOOKUP(Fibre,Fibres,5,FALSE)</f>
        <v>0.17</v>
      </c>
      <c r="C10" s="115">
        <f>HLOOKUP(Resin,Resins,3,FALSE)</f>
        <v>0.38869999999999999</v>
      </c>
      <c r="D10" s="52">
        <f>nu12_f*Vf+nu_m*Vm+(nu12_f-nu_m)*(1/K_m-1/K_f)*Vf*Vm/(Vm/K_f+Vf/K_m+1/G_m)</f>
        <v>0.25401096465905687</v>
      </c>
      <c r="E10" s="53">
        <f>HLOOKUP(Fibre&amp;"/"&amp;Resin,Plies,6,FALSE)</f>
        <v>0.25</v>
      </c>
      <c r="F10" s="54">
        <f t="shared" si="0"/>
        <v>1.5790517800838004E-2</v>
      </c>
      <c r="G10" s="48"/>
      <c r="H10" s="17"/>
      <c r="I10" s="18"/>
      <c r="K10" s="8"/>
      <c r="L10" s="8"/>
      <c r="M10" s="2"/>
    </row>
    <row r="11" spans="1:13" ht="18" x14ac:dyDescent="0.35">
      <c r="A11" s="5" t="s">
        <v>1</v>
      </c>
      <c r="B11" s="61">
        <f>HLOOKUP(Fibre,Fibres,6,FALSE)</f>
        <v>0.3</v>
      </c>
      <c r="C11" s="115"/>
      <c r="D11" s="55">
        <f>Bounds!C14</f>
        <v>0.47941408110223982</v>
      </c>
      <c r="E11" s="103">
        <f>HLOOKUP(Fibre&amp;"/"&amp;Resin,Plies,7,FALSE)</f>
        <v>0.45</v>
      </c>
      <c r="F11" s="54">
        <f t="shared" si="0"/>
        <v>6.1354228550427083E-2</v>
      </c>
      <c r="G11" s="48"/>
      <c r="H11" s="17"/>
      <c r="I11" s="18"/>
      <c r="L11" s="8"/>
      <c r="M11" s="2"/>
    </row>
    <row r="12" spans="1:13" ht="18" x14ac:dyDescent="0.35">
      <c r="A12" s="5" t="s">
        <v>2</v>
      </c>
      <c r="B12" s="61">
        <f>nu12_f</f>
        <v>0.17</v>
      </c>
      <c r="C12" s="115"/>
      <c r="D12" s="52">
        <f>D10</f>
        <v>0.25401096465905687</v>
      </c>
      <c r="E12" s="53">
        <f>E10</f>
        <v>0.25</v>
      </c>
      <c r="F12" s="54">
        <f t="shared" si="0"/>
        <v>1.5790517800838004E-2</v>
      </c>
      <c r="G12" s="48"/>
      <c r="H12" s="17"/>
      <c r="I12" s="18"/>
      <c r="M12" s="2"/>
    </row>
    <row r="13" spans="1:13" ht="18.75" x14ac:dyDescent="0.35">
      <c r="A13" s="5" t="s">
        <v>9</v>
      </c>
      <c r="B13" s="62">
        <f>HLOOKUP(Fibre,Fibres,7,FALSE)</f>
        <v>-5.4000000000000002E-7</v>
      </c>
      <c r="C13" s="117">
        <f>HLOOKUP(Resin,Resins,4,FALSE)</f>
        <v>8.0550000000000006E-5</v>
      </c>
      <c r="D13" s="56">
        <f>'UD Thermal Expansion'!J8</f>
        <v>1.0720357703395298E-6</v>
      </c>
      <c r="E13" s="24">
        <f>HLOOKUP(Fibre&amp;"/"&amp;Resin,Plies,8,FALSE)</f>
        <v>9.9999999999999995E-8</v>
      </c>
      <c r="F13" s="54">
        <f t="shared" si="0"/>
        <v>0.90671953047953946</v>
      </c>
      <c r="G13" s="48"/>
      <c r="H13" s="17"/>
      <c r="I13" s="19"/>
      <c r="J13" s="1"/>
      <c r="M13" s="2"/>
    </row>
    <row r="14" spans="1:13" ht="18.75" x14ac:dyDescent="0.35">
      <c r="A14" s="5" t="s">
        <v>10</v>
      </c>
      <c r="B14" s="62">
        <f>HLOOKUP(Fibre,Fibres,8,FALSE)</f>
        <v>-2.2500000000000001E-5</v>
      </c>
      <c r="C14" s="117"/>
      <c r="D14" s="56">
        <f>'UD Thermal Expansion'!J9</f>
        <v>3.7934153790096549E-5</v>
      </c>
      <c r="E14" s="24">
        <f>HLOOKUP(Fibre&amp;"/"&amp;Resin,Plies,9,FALSE)</f>
        <v>2.87E-5</v>
      </c>
      <c r="F14" s="54">
        <f t="shared" si="0"/>
        <v>0.24342585421023166</v>
      </c>
      <c r="G14" s="48"/>
      <c r="H14" s="17"/>
      <c r="I14" s="19"/>
      <c r="J14" s="1"/>
      <c r="M14" s="2"/>
    </row>
    <row r="15" spans="1:13" ht="18.75" x14ac:dyDescent="0.35">
      <c r="A15" s="5" t="s">
        <v>11</v>
      </c>
      <c r="B15" s="20">
        <f>alpha2_f</f>
        <v>-2.2500000000000001E-5</v>
      </c>
      <c r="C15" s="117"/>
      <c r="D15" s="56">
        <f>D14</f>
        <v>3.7934153790096549E-5</v>
      </c>
      <c r="E15" s="24">
        <f>E14</f>
        <v>2.87E-5</v>
      </c>
      <c r="F15" s="54">
        <f t="shared" si="0"/>
        <v>0.24342585421023166</v>
      </c>
      <c r="G15" s="48"/>
      <c r="H15" s="17"/>
      <c r="I15" s="18"/>
      <c r="M15" s="2"/>
    </row>
    <row r="16" spans="1:13" ht="15.75" thickBot="1" x14ac:dyDescent="0.3">
      <c r="A16" s="6" t="s">
        <v>12</v>
      </c>
      <c r="B16" s="63">
        <f>1/(4/E2_f-1/G23_f-4*nu12_f^2/E1_f)</f>
        <v>8.6085146943603021</v>
      </c>
      <c r="C16" s="67">
        <f>G_m/(1-2*nu_m)</f>
        <v>5.5640990355281303</v>
      </c>
      <c r="D16" s="57">
        <f>(K_m*(K_f+G_m)*Vm+K_f*(K_m+G_m)*Vf)/((K_f+G_m)*Vm+(K_m+G_m)*Vf)</f>
        <v>7.1134028308516468</v>
      </c>
      <c r="E16" s="104">
        <f>(K_m*(K_f+G_m)*Vm+K_f*(K_m+G_m)*Vf)/((K_f+G_m)*Vm+(K_m+G_m)*Vf)</f>
        <v>7.1134028308516468</v>
      </c>
      <c r="F16" s="22"/>
      <c r="G16" s="49"/>
      <c r="H16" s="21"/>
      <c r="I16" s="22"/>
    </row>
    <row r="17" spans="1:12" x14ac:dyDescent="0.25">
      <c r="C17" s="23"/>
      <c r="D17" s="23"/>
    </row>
    <row r="18" spans="1:12" x14ac:dyDescent="0.25">
      <c r="A18" s="105" t="s">
        <v>31</v>
      </c>
      <c r="B18" s="105"/>
      <c r="C18" s="105"/>
    </row>
    <row r="19" spans="1:12" x14ac:dyDescent="0.25">
      <c r="A19" s="113" t="s">
        <v>32</v>
      </c>
      <c r="B19" s="113"/>
      <c r="C19" s="113"/>
    </row>
    <row r="20" spans="1:12" x14ac:dyDescent="0.25">
      <c r="A20" s="114" t="s">
        <v>33</v>
      </c>
      <c r="B20" s="114"/>
      <c r="C20" s="114"/>
    </row>
    <row r="22" spans="1:12" ht="18" x14ac:dyDescent="0.35">
      <c r="A22" s="5" t="s">
        <v>120</v>
      </c>
      <c r="B22" s="98">
        <f>nu12_f*E2_f/E1_f</f>
        <v>8.869565217391304E-3</v>
      </c>
      <c r="C22" s="106">
        <f>nu_m</f>
        <v>0.38869999999999999</v>
      </c>
      <c r="D22" s="98"/>
      <c r="E22" s="98">
        <f>nu12_UD*E2_UD/E1_UD</f>
        <v>1.3888888888888888E-2</v>
      </c>
    </row>
    <row r="23" spans="1:12" ht="18" x14ac:dyDescent="0.35">
      <c r="A23" s="5" t="s">
        <v>121</v>
      </c>
      <c r="B23" s="99">
        <f>nu23_f*E3_f/E2_f</f>
        <v>0.3</v>
      </c>
      <c r="C23" s="107"/>
      <c r="D23" s="99"/>
      <c r="E23" s="99">
        <f>nu23_UD*E3_UD/E2_UD</f>
        <v>0.45</v>
      </c>
    </row>
    <row r="24" spans="1:12" ht="18" x14ac:dyDescent="0.35">
      <c r="A24" s="5" t="s">
        <v>122</v>
      </c>
      <c r="B24" s="98">
        <f>nu13_f*E3_f/E1_f</f>
        <v>8.869565217391304E-3</v>
      </c>
      <c r="C24" s="108"/>
      <c r="D24" s="98"/>
      <c r="E24" s="98">
        <f>nu13_UD*E3_UD/E1_UD</f>
        <v>1.3888888888888888E-2</v>
      </c>
    </row>
    <row r="25" spans="1:12" x14ac:dyDescent="0.25">
      <c r="A25" s="41"/>
      <c r="B25" s="41"/>
      <c r="C25" s="41"/>
      <c r="D25" s="41"/>
      <c r="E25" s="41"/>
    </row>
    <row r="26" spans="1:12" x14ac:dyDescent="0.25">
      <c r="A26" s="41"/>
      <c r="B26" s="41"/>
      <c r="C26" s="41"/>
      <c r="D26" s="41"/>
      <c r="E26" s="41"/>
      <c r="K26" s="7"/>
    </row>
    <row r="27" spans="1:12" x14ac:dyDescent="0.25">
      <c r="A27" s="41"/>
      <c r="B27" s="41"/>
      <c r="C27" s="41"/>
      <c r="D27" s="41"/>
      <c r="E27" s="41"/>
      <c r="K27" s="8"/>
      <c r="L27" s="7"/>
    </row>
    <row r="28" spans="1:12" x14ac:dyDescent="0.25">
      <c r="A28" s="41"/>
      <c r="B28" s="41"/>
      <c r="C28" s="41"/>
      <c r="D28" s="41"/>
      <c r="E28" s="41"/>
      <c r="K28" s="8"/>
      <c r="L28" s="8"/>
    </row>
    <row r="29" spans="1:12" x14ac:dyDescent="0.25">
      <c r="A29" s="41"/>
      <c r="B29" s="41"/>
      <c r="C29" s="41"/>
      <c r="D29" s="41"/>
      <c r="E29" s="41"/>
      <c r="K29" s="8"/>
      <c r="L29" s="8"/>
    </row>
    <row r="30" spans="1:12" x14ac:dyDescent="0.25">
      <c r="A30" s="41"/>
      <c r="B30" s="41"/>
      <c r="C30" s="41"/>
      <c r="D30" s="41"/>
      <c r="E30" s="41"/>
      <c r="K30" s="8"/>
      <c r="L30" s="8"/>
    </row>
    <row r="31" spans="1:12" x14ac:dyDescent="0.25">
      <c r="A31" s="41"/>
      <c r="B31" s="41"/>
      <c r="C31" s="41"/>
      <c r="D31" s="41"/>
      <c r="E31" s="41"/>
      <c r="K31" s="8"/>
      <c r="L31" s="8"/>
    </row>
    <row r="32" spans="1:12" x14ac:dyDescent="0.25">
      <c r="K32" s="8"/>
      <c r="L32" s="8"/>
    </row>
    <row r="33" spans="11:12" x14ac:dyDescent="0.25">
      <c r="K33" s="8"/>
      <c r="L33" s="8"/>
    </row>
    <row r="34" spans="11:12" x14ac:dyDescent="0.25">
      <c r="L34" s="8"/>
    </row>
  </sheetData>
  <mergeCells count="11">
    <mergeCell ref="C22:C24"/>
    <mergeCell ref="D1:F1"/>
    <mergeCell ref="G1:I1"/>
    <mergeCell ref="A18:C18"/>
    <mergeCell ref="A19:C19"/>
    <mergeCell ref="A20:C20"/>
    <mergeCell ref="C4:C6"/>
    <mergeCell ref="C7:C9"/>
    <mergeCell ref="C10:C12"/>
    <mergeCell ref="C13:C15"/>
    <mergeCell ref="A1:A2"/>
  </mergeCells>
  <pageMargins left="0.7" right="0.7" top="0.75" bottom="0.75" header="0.3" footer="0.3"/>
  <pageSetup orientation="portrait" r:id="rId1"/>
  <cellWatches>
    <cellWatch r="D4"/>
    <cellWatch r="D5"/>
    <cellWatch r="D7"/>
    <cellWatch r="D8"/>
    <cellWatch r="D10"/>
    <cellWatch r="D11"/>
  </cellWatch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8"/>
  <sheetViews>
    <sheetView topLeftCell="D1" workbookViewId="0">
      <selection activeCell="D1" sqref="D1:D58"/>
    </sheetView>
    <sheetView topLeftCell="D1" workbookViewId="1"/>
  </sheetViews>
  <sheetFormatPr defaultRowHeight="15" x14ac:dyDescent="0.25"/>
  <cols>
    <col min="1" max="1" width="42.140625" hidden="1" customWidth="1"/>
    <col min="2" max="2" width="13.7109375" hidden="1" customWidth="1"/>
    <col min="3" max="3" width="3.85546875" hidden="1" customWidth="1"/>
    <col min="4" max="4" width="9.140625" style="40"/>
  </cols>
  <sheetData>
    <row r="1" spans="1:4" x14ac:dyDescent="0.25">
      <c r="A1" s="40" t="s">
        <v>63</v>
      </c>
      <c r="B1" s="40"/>
      <c r="D1" s="40" t="str">
        <f t="shared" ref="D1:D5" si="0">A1&amp;B1&amp;C1</f>
        <v xml:space="preserve">    #********#</v>
      </c>
    </row>
    <row r="2" spans="1:4" x14ac:dyDescent="0.25">
      <c r="A2" s="40" t="s">
        <v>64</v>
      </c>
      <c r="B2" s="40"/>
      <c r="D2" s="40" t="str">
        <f t="shared" si="0"/>
        <v xml:space="preserve">    # lamina #</v>
      </c>
    </row>
    <row r="3" spans="1:4" x14ac:dyDescent="0.25">
      <c r="A3" s="40" t="s">
        <v>63</v>
      </c>
      <c r="B3" s="40"/>
      <c r="D3" s="40" t="str">
        <f t="shared" si="0"/>
        <v xml:space="preserve">    #********#</v>
      </c>
    </row>
    <row r="4" spans="1:4" x14ac:dyDescent="0.25">
      <c r="A4" s="40"/>
      <c r="B4" s="40"/>
      <c r="D4" s="40" t="str">
        <f t="shared" si="0"/>
        <v/>
      </c>
    </row>
    <row r="5" spans="1:4" x14ac:dyDescent="0.25">
      <c r="A5" s="40" t="s">
        <v>65</v>
      </c>
      <c r="B5" s="40"/>
      <c r="D5" s="40" t="str">
        <f t="shared" si="0"/>
        <v xml:space="preserve">    # name</v>
      </c>
    </row>
    <row r="6" spans="1:4" x14ac:dyDescent="0.25">
      <c r="A6" s="40" t="s">
        <v>75</v>
      </c>
      <c r="B6" s="40" t="str">
        <f>Fibre&amp;"_"&amp;Resin</f>
        <v>T300_Cycom970</v>
      </c>
      <c r="C6" s="42" t="s">
        <v>76</v>
      </c>
      <c r="D6" s="40" t="str">
        <f>A6&amp;B6&amp;C6</f>
        <v xml:space="preserve">    mat_name = "T300_Cycom970"</v>
      </c>
    </row>
    <row r="7" spans="1:4" x14ac:dyDescent="0.25">
      <c r="A7" s="40" t="s">
        <v>66</v>
      </c>
      <c r="B7" s="40"/>
      <c r="D7" s="40" t="str">
        <f t="shared" ref="D7:D58" si="1">A7&amp;B7&amp;C7</f>
        <v xml:space="preserve">    </v>
      </c>
    </row>
    <row r="8" spans="1:4" x14ac:dyDescent="0.25">
      <c r="A8" s="40" t="s">
        <v>67</v>
      </c>
      <c r="B8" s="40"/>
      <c r="D8" s="40" t="str">
        <f t="shared" si="1"/>
        <v xml:space="preserve">    # volume fraction</v>
      </c>
    </row>
    <row r="9" spans="1:4" x14ac:dyDescent="0.25">
      <c r="A9" s="40" t="s">
        <v>77</v>
      </c>
      <c r="B9" s="40">
        <f>Vf</f>
        <v>0.6</v>
      </c>
      <c r="D9" s="40" t="str">
        <f t="shared" si="1"/>
        <v xml:space="preserve">    vf=0.6</v>
      </c>
    </row>
    <row r="10" spans="1:4" x14ac:dyDescent="0.25">
      <c r="A10" s="40" t="s">
        <v>66</v>
      </c>
      <c r="B10" s="40"/>
      <c r="D10" s="40" t="str">
        <f t="shared" si="1"/>
        <v xml:space="preserve">    </v>
      </c>
    </row>
    <row r="11" spans="1:4" x14ac:dyDescent="0.25">
      <c r="A11" s="40" t="s">
        <v>68</v>
      </c>
      <c r="B11" s="40"/>
      <c r="D11" s="40" t="str">
        <f t="shared" si="1"/>
        <v xml:space="preserve">    # youngs modulus</v>
      </c>
    </row>
    <row r="12" spans="1:4" x14ac:dyDescent="0.25">
      <c r="A12" s="40" t="s">
        <v>79</v>
      </c>
      <c r="B12" s="40">
        <f>ROUND(E1_UD,2)</f>
        <v>135</v>
      </c>
      <c r="C12" t="s">
        <v>78</v>
      </c>
      <c r="D12" s="40" t="str">
        <f t="shared" si="1"/>
        <v xml:space="preserve">    young_l1=135e3</v>
      </c>
    </row>
    <row r="13" spans="1:4" x14ac:dyDescent="0.25">
      <c r="A13" s="40" t="s">
        <v>80</v>
      </c>
      <c r="B13" s="40">
        <f>ROUND(E2_UD,2)</f>
        <v>7.5</v>
      </c>
      <c r="C13" s="41" t="s">
        <v>78</v>
      </c>
      <c r="D13" s="40" t="str">
        <f t="shared" si="1"/>
        <v xml:space="preserve">    young_l2=7.5e3</v>
      </c>
    </row>
    <row r="14" spans="1:4" x14ac:dyDescent="0.25">
      <c r="A14" s="40" t="s">
        <v>66</v>
      </c>
      <c r="B14" s="40"/>
      <c r="D14" s="40" t="str">
        <f t="shared" si="1"/>
        <v xml:space="preserve">    </v>
      </c>
    </row>
    <row r="15" spans="1:4" x14ac:dyDescent="0.25">
      <c r="A15" s="40" t="s">
        <v>69</v>
      </c>
      <c r="B15" s="40"/>
      <c r="D15" s="40" t="str">
        <f t="shared" si="1"/>
        <v xml:space="preserve">    # shear modulus</v>
      </c>
    </row>
    <row r="16" spans="1:4" x14ac:dyDescent="0.25">
      <c r="A16" s="40" t="s">
        <v>81</v>
      </c>
      <c r="B16" s="40">
        <f>ROUND(G12_UD,2)</f>
        <v>3.5</v>
      </c>
      <c r="C16" s="41" t="s">
        <v>78</v>
      </c>
      <c r="D16" s="40" t="str">
        <f t="shared" si="1"/>
        <v xml:space="preserve">    shear_l12=3.5e3</v>
      </c>
    </row>
    <row r="17" spans="1:4" x14ac:dyDescent="0.25">
      <c r="A17" s="40" t="s">
        <v>82</v>
      </c>
      <c r="B17" s="40">
        <f>ROUND(G23_UD,2)</f>
        <v>2.76</v>
      </c>
      <c r="C17" s="41" t="s">
        <v>78</v>
      </c>
      <c r="D17" s="40" t="str">
        <f t="shared" si="1"/>
        <v xml:space="preserve">    shear_l23=2.76e3</v>
      </c>
    </row>
    <row r="18" spans="1:4" x14ac:dyDescent="0.25">
      <c r="A18" s="40"/>
      <c r="B18" s="40"/>
      <c r="D18" s="40" t="str">
        <f t="shared" si="1"/>
        <v/>
      </c>
    </row>
    <row r="19" spans="1:4" x14ac:dyDescent="0.25">
      <c r="A19" s="40" t="s">
        <v>70</v>
      </c>
      <c r="B19" s="40"/>
      <c r="D19" s="40" t="str">
        <f t="shared" si="1"/>
        <v xml:space="preserve">    # poissons ratio</v>
      </c>
    </row>
    <row r="20" spans="1:4" x14ac:dyDescent="0.25">
      <c r="A20" s="40" t="s">
        <v>87</v>
      </c>
      <c r="B20" s="40">
        <f>ROUND(nu12_UD,3)</f>
        <v>0.25</v>
      </c>
      <c r="D20" s="40" t="str">
        <f t="shared" si="1"/>
        <v xml:space="preserve">    nu_l12=0.25</v>
      </c>
    </row>
    <row r="21" spans="1:4" x14ac:dyDescent="0.25">
      <c r="A21" s="40" t="s">
        <v>86</v>
      </c>
      <c r="B21" s="40">
        <f>ROUND(nu23_UD,3)</f>
        <v>0.45</v>
      </c>
      <c r="D21" s="40" t="str">
        <f t="shared" si="1"/>
        <v xml:space="preserve">    nu_l23=0.45</v>
      </c>
    </row>
    <row r="22" spans="1:4" x14ac:dyDescent="0.25">
      <c r="A22" s="40"/>
      <c r="B22" s="40"/>
      <c r="D22" s="40" t="str">
        <f t="shared" si="1"/>
        <v/>
      </c>
    </row>
    <row r="23" spans="1:4" x14ac:dyDescent="0.25">
      <c r="A23" s="40" t="s">
        <v>71</v>
      </c>
      <c r="B23" s="40"/>
      <c r="D23" s="40" t="str">
        <f t="shared" si="1"/>
        <v xml:space="preserve">    # thermal expansion coefficient</v>
      </c>
    </row>
    <row r="24" spans="1:4" x14ac:dyDescent="0.25">
      <c r="A24" s="40" t="s">
        <v>84</v>
      </c>
      <c r="B24" s="40">
        <f>ROUND(alpha1_UD*1000000,2)</f>
        <v>0.1</v>
      </c>
      <c r="C24" t="s">
        <v>83</v>
      </c>
      <c r="D24" s="40" t="str">
        <f t="shared" si="1"/>
        <v xml:space="preserve">    alpha_l1=0.1e-6</v>
      </c>
    </row>
    <row r="25" spans="1:4" x14ac:dyDescent="0.25">
      <c r="A25" s="40" t="s">
        <v>85</v>
      </c>
      <c r="B25" s="40">
        <f>ROUND(alpha2_UD*1000000,2)</f>
        <v>28.7</v>
      </c>
      <c r="C25" t="s">
        <v>83</v>
      </c>
      <c r="D25" s="40" t="str">
        <f t="shared" si="1"/>
        <v xml:space="preserve">    alpha_l2=28.7e-6</v>
      </c>
    </row>
    <row r="26" spans="1:4" x14ac:dyDescent="0.25">
      <c r="A26" s="40"/>
      <c r="B26" s="40"/>
      <c r="D26" s="40" t="str">
        <f t="shared" si="1"/>
        <v/>
      </c>
    </row>
    <row r="27" spans="1:4" x14ac:dyDescent="0.25">
      <c r="A27" s="40" t="s">
        <v>72</v>
      </c>
      <c r="B27" s="40"/>
      <c r="D27" s="40" t="str">
        <f t="shared" si="1"/>
        <v xml:space="preserve">    #*******#</v>
      </c>
    </row>
    <row r="28" spans="1:4" x14ac:dyDescent="0.25">
      <c r="A28" s="40" t="s">
        <v>73</v>
      </c>
      <c r="B28" s="40"/>
      <c r="D28" s="40" t="str">
        <f t="shared" si="1"/>
        <v xml:space="preserve">    # fibre #</v>
      </c>
    </row>
    <row r="29" spans="1:4" x14ac:dyDescent="0.25">
      <c r="A29" s="40" t="s">
        <v>72</v>
      </c>
      <c r="B29" s="40"/>
      <c r="D29" s="40" t="str">
        <f t="shared" si="1"/>
        <v xml:space="preserve">    #*******#</v>
      </c>
    </row>
    <row r="30" spans="1:4" x14ac:dyDescent="0.25">
      <c r="A30" s="40"/>
      <c r="B30" s="40"/>
      <c r="D30" s="40" t="str">
        <f t="shared" si="1"/>
        <v/>
      </c>
    </row>
    <row r="31" spans="1:4" x14ac:dyDescent="0.25">
      <c r="A31" s="40" t="s">
        <v>68</v>
      </c>
      <c r="B31" s="40"/>
      <c r="D31" s="40" t="str">
        <f t="shared" si="1"/>
        <v xml:space="preserve">    # youngs modulus</v>
      </c>
    </row>
    <row r="32" spans="1:4" x14ac:dyDescent="0.25">
      <c r="A32" s="40" t="s">
        <v>88</v>
      </c>
      <c r="B32" s="40">
        <f>ROUND(E1_f,2)</f>
        <v>230</v>
      </c>
      <c r="C32" s="41" t="s">
        <v>78</v>
      </c>
      <c r="D32" s="40" t="str">
        <f t="shared" si="1"/>
        <v xml:space="preserve">    young_f1=230e3</v>
      </c>
    </row>
    <row r="33" spans="1:4" x14ac:dyDescent="0.25">
      <c r="A33" s="40" t="s">
        <v>89</v>
      </c>
      <c r="B33" s="40">
        <f>ROUND(E2_f,2)</f>
        <v>12</v>
      </c>
      <c r="C33" s="41" t="s">
        <v>78</v>
      </c>
      <c r="D33" s="40" t="str">
        <f t="shared" si="1"/>
        <v xml:space="preserve">    young_f2=12e3</v>
      </c>
    </row>
    <row r="34" spans="1:4" x14ac:dyDescent="0.25">
      <c r="A34" s="40"/>
      <c r="B34" s="40"/>
      <c r="C34" s="41"/>
      <c r="D34" s="40" t="str">
        <f t="shared" si="1"/>
        <v/>
      </c>
    </row>
    <row r="35" spans="1:4" x14ac:dyDescent="0.25">
      <c r="A35" s="40" t="s">
        <v>69</v>
      </c>
      <c r="B35" s="40"/>
      <c r="C35" s="41"/>
      <c r="D35" s="40" t="str">
        <f t="shared" si="1"/>
        <v xml:space="preserve">    # shear modulus</v>
      </c>
    </row>
    <row r="36" spans="1:4" x14ac:dyDescent="0.25">
      <c r="A36" s="40" t="s">
        <v>90</v>
      </c>
      <c r="B36" s="40">
        <f>ROUND(G12_f,2)</f>
        <v>9.85</v>
      </c>
      <c r="C36" s="41" t="s">
        <v>78</v>
      </c>
      <c r="D36" s="40" t="str">
        <f t="shared" si="1"/>
        <v xml:space="preserve">    shear_f12=9.85e3</v>
      </c>
    </row>
    <row r="37" spans="1:4" x14ac:dyDescent="0.25">
      <c r="A37" s="40" t="s">
        <v>91</v>
      </c>
      <c r="B37" s="40">
        <f>ROUND(G23_f,2)</f>
        <v>4.62</v>
      </c>
      <c r="C37" s="41" t="s">
        <v>78</v>
      </c>
      <c r="D37" s="40" t="str">
        <f t="shared" si="1"/>
        <v xml:space="preserve">    shear_f23=4.62e3</v>
      </c>
    </row>
    <row r="38" spans="1:4" x14ac:dyDescent="0.25">
      <c r="A38" s="40"/>
      <c r="B38" s="40"/>
      <c r="C38" s="41"/>
      <c r="D38" s="40" t="str">
        <f t="shared" si="1"/>
        <v/>
      </c>
    </row>
    <row r="39" spans="1:4" x14ac:dyDescent="0.25">
      <c r="A39" s="40" t="s">
        <v>70</v>
      </c>
      <c r="B39" s="40"/>
      <c r="C39" s="41"/>
      <c r="D39" s="40" t="str">
        <f t="shared" si="1"/>
        <v xml:space="preserve">    # poissons ratio</v>
      </c>
    </row>
    <row r="40" spans="1:4" x14ac:dyDescent="0.25">
      <c r="A40" s="40" t="s">
        <v>92</v>
      </c>
      <c r="B40" s="40">
        <f>ROUND(nu12_f,3)</f>
        <v>0.17</v>
      </c>
      <c r="C40" s="41"/>
      <c r="D40" s="40" t="str">
        <f t="shared" si="1"/>
        <v xml:space="preserve">    nu_f12=0.17</v>
      </c>
    </row>
    <row r="41" spans="1:4" x14ac:dyDescent="0.25">
      <c r="A41" s="40" t="s">
        <v>93</v>
      </c>
      <c r="B41" s="40">
        <f>ROUND(nu23_f,3)</f>
        <v>0.3</v>
      </c>
      <c r="C41" s="41"/>
      <c r="D41" s="40" t="str">
        <f t="shared" si="1"/>
        <v xml:space="preserve">    nu_f23=0.3</v>
      </c>
    </row>
    <row r="42" spans="1:4" x14ac:dyDescent="0.25">
      <c r="A42" s="40" t="s">
        <v>66</v>
      </c>
      <c r="B42" s="40"/>
      <c r="C42" s="41"/>
      <c r="D42" s="40" t="str">
        <f t="shared" si="1"/>
        <v xml:space="preserve">    </v>
      </c>
    </row>
    <row r="43" spans="1:4" x14ac:dyDescent="0.25">
      <c r="A43" s="40" t="s">
        <v>71</v>
      </c>
      <c r="B43" s="40"/>
      <c r="C43" s="41"/>
      <c r="D43" s="40" t="str">
        <f t="shared" si="1"/>
        <v xml:space="preserve">    # thermal expansion coefficient</v>
      </c>
    </row>
    <row r="44" spans="1:4" x14ac:dyDescent="0.25">
      <c r="A44" s="40" t="s">
        <v>94</v>
      </c>
      <c r="B44" s="40">
        <f>ROUND(alpha1_f*1000000,2)</f>
        <v>-0.54</v>
      </c>
      <c r="C44" s="41" t="s">
        <v>83</v>
      </c>
      <c r="D44" s="40" t="str">
        <f t="shared" si="1"/>
        <v xml:space="preserve">    alpha_f1=-0.54e-6</v>
      </c>
    </row>
    <row r="45" spans="1:4" x14ac:dyDescent="0.25">
      <c r="A45" s="40" t="s">
        <v>95</v>
      </c>
      <c r="B45" s="40">
        <f>ROUND(alpha2_f*1000000,2)</f>
        <v>-22.5</v>
      </c>
      <c r="C45" s="41" t="s">
        <v>83</v>
      </c>
      <c r="D45" s="40" t="str">
        <f t="shared" si="1"/>
        <v xml:space="preserve">    alpha_f2=-22.5e-6</v>
      </c>
    </row>
    <row r="46" spans="1:4" x14ac:dyDescent="0.25">
      <c r="A46" s="40"/>
      <c r="B46" s="40"/>
      <c r="D46" s="40" t="str">
        <f t="shared" si="1"/>
        <v/>
      </c>
    </row>
    <row r="47" spans="1:4" x14ac:dyDescent="0.25">
      <c r="A47" s="40" t="s">
        <v>72</v>
      </c>
      <c r="B47" s="40"/>
      <c r="D47" s="40" t="str">
        <f t="shared" si="1"/>
        <v xml:space="preserve">    #*******#</v>
      </c>
    </row>
    <row r="48" spans="1:4" x14ac:dyDescent="0.25">
      <c r="A48" s="40" t="s">
        <v>74</v>
      </c>
      <c r="B48" s="40"/>
      <c r="D48" s="40" t="str">
        <f t="shared" si="1"/>
        <v xml:space="preserve">    # resin #</v>
      </c>
    </row>
    <row r="49" spans="1:4" x14ac:dyDescent="0.25">
      <c r="A49" s="40" t="s">
        <v>72</v>
      </c>
      <c r="B49" s="40"/>
      <c r="D49" s="40" t="str">
        <f t="shared" si="1"/>
        <v xml:space="preserve">    #*******#</v>
      </c>
    </row>
    <row r="50" spans="1:4" x14ac:dyDescent="0.25">
      <c r="A50" s="40" t="s">
        <v>66</v>
      </c>
      <c r="B50" s="40"/>
      <c r="D50" s="40" t="str">
        <f t="shared" si="1"/>
        <v xml:space="preserve">    </v>
      </c>
    </row>
    <row r="51" spans="1:4" x14ac:dyDescent="0.25">
      <c r="A51" s="40" t="s">
        <v>68</v>
      </c>
      <c r="B51" s="40"/>
      <c r="D51" s="40" t="str">
        <f t="shared" si="1"/>
        <v xml:space="preserve">    # youngs modulus</v>
      </c>
    </row>
    <row r="52" spans="1:4" x14ac:dyDescent="0.25">
      <c r="A52" s="40" t="s">
        <v>97</v>
      </c>
      <c r="B52" s="40">
        <f>ROUND(E_m,2)</f>
        <v>3.44</v>
      </c>
      <c r="C52" t="s">
        <v>78</v>
      </c>
      <c r="D52" s="40" t="str">
        <f t="shared" si="1"/>
        <v xml:space="preserve">    young_m=3.44e3</v>
      </c>
    </row>
    <row r="53" spans="1:4" x14ac:dyDescent="0.25">
      <c r="A53" s="40" t="s">
        <v>66</v>
      </c>
      <c r="B53" s="40"/>
      <c r="D53" s="40" t="str">
        <f t="shared" si="1"/>
        <v xml:space="preserve">    </v>
      </c>
    </row>
    <row r="54" spans="1:4" x14ac:dyDescent="0.25">
      <c r="A54" s="40" t="s">
        <v>70</v>
      </c>
      <c r="B54" s="40"/>
      <c r="D54" s="40" t="str">
        <f t="shared" si="1"/>
        <v xml:space="preserve">    # poissons ratio</v>
      </c>
    </row>
    <row r="55" spans="1:4" x14ac:dyDescent="0.25">
      <c r="A55" s="40" t="s">
        <v>96</v>
      </c>
      <c r="B55" s="40">
        <f>ROUND(nu_m,3)</f>
        <v>0.38900000000000001</v>
      </c>
      <c r="D55" s="40" t="str">
        <f t="shared" si="1"/>
        <v xml:space="preserve">    nu_m=0.389</v>
      </c>
    </row>
    <row r="56" spans="1:4" x14ac:dyDescent="0.25">
      <c r="A56" s="40" t="s">
        <v>66</v>
      </c>
      <c r="B56" s="40"/>
      <c r="D56" s="40" t="str">
        <f t="shared" si="1"/>
        <v xml:space="preserve">    </v>
      </c>
    </row>
    <row r="57" spans="1:4" x14ac:dyDescent="0.25">
      <c r="A57" s="40" t="s">
        <v>71</v>
      </c>
      <c r="B57" s="40"/>
      <c r="D57" s="40" t="str">
        <f t="shared" si="1"/>
        <v xml:space="preserve">    # thermal expansion coefficient</v>
      </c>
    </row>
    <row r="58" spans="1:4" x14ac:dyDescent="0.25">
      <c r="A58" s="40" t="s">
        <v>98</v>
      </c>
      <c r="B58" s="40">
        <f>ROUND(alpha_m*1000000,2)</f>
        <v>80.55</v>
      </c>
      <c r="C58" t="s">
        <v>83</v>
      </c>
      <c r="D58" s="40" t="str">
        <f t="shared" si="1"/>
        <v xml:space="preserve">    alpha_m=80.55e-6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94"/>
  <sheetViews>
    <sheetView topLeftCell="A52" workbookViewId="0">
      <selection activeCell="D83" sqref="D83"/>
    </sheetView>
    <sheetView workbookViewId="1"/>
  </sheetViews>
  <sheetFormatPr defaultColWidth="7.7109375" defaultRowHeight="37.5" customHeight="1" x14ac:dyDescent="0.25"/>
  <cols>
    <col min="1" max="9" width="8" style="2" customWidth="1"/>
    <col min="10" max="16384" width="7.7109375" style="2"/>
  </cols>
  <sheetData>
    <row r="1" spans="1:10" ht="36" customHeight="1" x14ac:dyDescent="0.25">
      <c r="A1" s="2" t="s">
        <v>22</v>
      </c>
      <c r="B1" s="2">
        <v>1</v>
      </c>
      <c r="C1" s="2">
        <v>0</v>
      </c>
      <c r="D1" s="2">
        <v>0</v>
      </c>
      <c r="E1" s="2">
        <v>0</v>
      </c>
      <c r="F1" s="2">
        <v>0</v>
      </c>
      <c r="G1" s="2">
        <v>0</v>
      </c>
    </row>
    <row r="2" spans="1:10" ht="36" customHeight="1" x14ac:dyDescent="0.25">
      <c r="B2" s="2">
        <v>0</v>
      </c>
      <c r="C2" s="2">
        <v>1</v>
      </c>
      <c r="D2" s="2">
        <v>0</v>
      </c>
      <c r="E2" s="2">
        <v>0</v>
      </c>
      <c r="F2" s="2">
        <v>0</v>
      </c>
      <c r="G2" s="2">
        <v>0</v>
      </c>
    </row>
    <row r="3" spans="1:10" ht="36" customHeight="1" x14ac:dyDescent="0.25">
      <c r="B3" s="2">
        <v>0</v>
      </c>
      <c r="C3" s="2">
        <v>0</v>
      </c>
      <c r="D3" s="2">
        <v>1</v>
      </c>
      <c r="E3" s="2">
        <v>0</v>
      </c>
      <c r="F3" s="2">
        <v>0</v>
      </c>
      <c r="G3" s="2">
        <v>0</v>
      </c>
    </row>
    <row r="4" spans="1:10" ht="36" customHeight="1" x14ac:dyDescent="0.25">
      <c r="B4" s="2">
        <v>0</v>
      </c>
      <c r="C4" s="2">
        <v>0</v>
      </c>
      <c r="D4" s="2">
        <v>0</v>
      </c>
      <c r="E4" s="2">
        <v>2</v>
      </c>
      <c r="F4" s="2">
        <v>0</v>
      </c>
      <c r="G4" s="2">
        <v>0</v>
      </c>
    </row>
    <row r="5" spans="1:10" ht="36" customHeight="1" x14ac:dyDescent="0.25">
      <c r="B5" s="2">
        <v>0</v>
      </c>
      <c r="C5" s="2">
        <v>0</v>
      </c>
      <c r="D5" s="2">
        <v>0</v>
      </c>
      <c r="E5" s="2">
        <v>0</v>
      </c>
      <c r="F5" s="2">
        <v>2</v>
      </c>
      <c r="G5" s="2">
        <v>0</v>
      </c>
    </row>
    <row r="6" spans="1:10" ht="36" customHeight="1" x14ac:dyDescent="0.25"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2</v>
      </c>
    </row>
    <row r="7" spans="1:10" ht="36" customHeight="1" thickBot="1" x14ac:dyDescent="0.3"/>
    <row r="8" spans="1:10" ht="36" customHeight="1" x14ac:dyDescent="0.25">
      <c r="A8" s="12" t="s">
        <v>23</v>
      </c>
      <c r="B8" s="13">
        <f>alpha_m</f>
        <v>8.0550000000000006E-5</v>
      </c>
      <c r="C8" s="12" t="s">
        <v>24</v>
      </c>
      <c r="D8" s="13">
        <f>alpha1_f</f>
        <v>-5.4000000000000002E-7</v>
      </c>
      <c r="E8" s="12" t="s">
        <v>25</v>
      </c>
      <c r="F8" s="13">
        <f t="array" ref="F8:F13">(a_m*Vm+a_f*Vf)</f>
        <v>3.1896000000000008E-5</v>
      </c>
      <c r="G8" s="14" t="s">
        <v>26</v>
      </c>
      <c r="H8" s="13">
        <f t="array" ref="H8:H13">a_f-a_m</f>
        <v>-8.1090000000000011E-5</v>
      </c>
      <c r="I8" s="12" t="s">
        <v>30</v>
      </c>
      <c r="J8" s="32">
        <f t="array" ref="J8:J13">a_bar+TRANSPOSE(MMULT(TRANSPOSE(delta_a),MMULT(W,B64:G69)))</f>
        <v>1.0720357703395298E-6</v>
      </c>
    </row>
    <row r="9" spans="1:10" ht="36" customHeight="1" x14ac:dyDescent="0.25">
      <c r="B9" s="13">
        <f>B8</f>
        <v>8.0550000000000006E-5</v>
      </c>
      <c r="D9" s="13">
        <f>alpha2_f</f>
        <v>-2.2500000000000001E-5</v>
      </c>
      <c r="F9" s="13">
        <v>1.8720000000000004E-5</v>
      </c>
      <c r="H9" s="13">
        <v>-1.0305000000000001E-4</v>
      </c>
      <c r="J9" s="33">
        <v>3.7934153790096549E-5</v>
      </c>
    </row>
    <row r="10" spans="1:10" ht="36" customHeight="1" x14ac:dyDescent="0.25">
      <c r="B10" s="13">
        <f>B9</f>
        <v>8.0550000000000006E-5</v>
      </c>
      <c r="D10" s="13">
        <f>D9</f>
        <v>-2.2500000000000001E-5</v>
      </c>
      <c r="F10" s="13">
        <v>1.8720000000000004E-5</v>
      </c>
      <c r="H10" s="13">
        <v>-1.0305000000000001E-4</v>
      </c>
      <c r="J10" s="33">
        <v>3.7934153790096549E-5</v>
      </c>
    </row>
    <row r="11" spans="1:10" ht="36" customHeight="1" x14ac:dyDescent="0.25">
      <c r="B11" s="2">
        <v>0</v>
      </c>
      <c r="D11" s="2">
        <v>0</v>
      </c>
      <c r="F11" s="13">
        <v>0</v>
      </c>
      <c r="H11" s="13">
        <v>0</v>
      </c>
      <c r="J11" s="33">
        <v>0</v>
      </c>
    </row>
    <row r="12" spans="1:10" ht="36" customHeight="1" x14ac:dyDescent="0.25">
      <c r="B12" s="2">
        <v>0</v>
      </c>
      <c r="D12" s="2">
        <v>0</v>
      </c>
      <c r="F12" s="13">
        <v>0</v>
      </c>
      <c r="H12" s="13">
        <v>0</v>
      </c>
      <c r="J12" s="33">
        <v>0</v>
      </c>
    </row>
    <row r="13" spans="1:10" ht="36" customHeight="1" thickBot="1" x14ac:dyDescent="0.3">
      <c r="B13" s="2">
        <v>0</v>
      </c>
      <c r="D13" s="2">
        <v>0</v>
      </c>
      <c r="F13" s="13">
        <v>0</v>
      </c>
      <c r="H13" s="13">
        <v>0</v>
      </c>
      <c r="J13" s="34">
        <v>0</v>
      </c>
    </row>
    <row r="14" spans="1:10" ht="36" customHeight="1" x14ac:dyDescent="0.25"/>
    <row r="15" spans="1:10" ht="36" customHeight="1" x14ac:dyDescent="0.25">
      <c r="A15" s="11" t="s">
        <v>17</v>
      </c>
      <c r="B15" s="15">
        <f>1/E1_f</f>
        <v>4.3478260869565218E-3</v>
      </c>
      <c r="C15" s="15">
        <f>-nu12_f/E1_f</f>
        <v>-7.3913043478260874E-4</v>
      </c>
      <c r="D15" s="15">
        <f>C15</f>
        <v>-7.3913043478260874E-4</v>
      </c>
      <c r="E15" s="15">
        <v>0</v>
      </c>
      <c r="F15" s="15">
        <v>0</v>
      </c>
      <c r="G15" s="15">
        <v>0</v>
      </c>
    </row>
    <row r="16" spans="1:10" ht="36" customHeight="1" x14ac:dyDescent="0.25">
      <c r="A16" s="11"/>
      <c r="B16" s="15">
        <f>C15</f>
        <v>-7.3913043478260874E-4</v>
      </c>
      <c r="C16" s="15">
        <f>1/E2_f</f>
        <v>8.3333333333333329E-2</v>
      </c>
      <c r="D16" s="15">
        <f>-nu23_f/E2_f</f>
        <v>-2.4999999999999998E-2</v>
      </c>
      <c r="E16" s="15">
        <v>0</v>
      </c>
      <c r="F16" s="15">
        <v>0</v>
      </c>
      <c r="G16" s="15">
        <v>0</v>
      </c>
    </row>
    <row r="17" spans="1:7" ht="36" customHeight="1" x14ac:dyDescent="0.25">
      <c r="A17" s="11"/>
      <c r="B17" s="15">
        <f>C15</f>
        <v>-7.3913043478260874E-4</v>
      </c>
      <c r="C17" s="15">
        <f>D16</f>
        <v>-2.4999999999999998E-2</v>
      </c>
      <c r="D17" s="15">
        <f>C16</f>
        <v>8.3333333333333329E-2</v>
      </c>
      <c r="E17" s="15">
        <v>0</v>
      </c>
      <c r="F17" s="15">
        <v>0</v>
      </c>
      <c r="G17" s="15">
        <v>0</v>
      </c>
    </row>
    <row r="18" spans="1:7" ht="36" customHeight="1" x14ac:dyDescent="0.25">
      <c r="A18" s="11"/>
      <c r="B18" s="15">
        <v>0</v>
      </c>
      <c r="C18" s="15">
        <v>0</v>
      </c>
      <c r="D18" s="15">
        <v>0</v>
      </c>
      <c r="E18" s="15">
        <f>1/(4*G23_f)</f>
        <v>5.4166666666666669E-2</v>
      </c>
      <c r="F18" s="15">
        <v>0</v>
      </c>
      <c r="G18" s="15">
        <v>0</v>
      </c>
    </row>
    <row r="19" spans="1:7" ht="36" customHeight="1" x14ac:dyDescent="0.25">
      <c r="A19" s="11"/>
      <c r="B19" s="15">
        <v>0</v>
      </c>
      <c r="C19" s="15">
        <v>0</v>
      </c>
      <c r="D19" s="15">
        <v>0</v>
      </c>
      <c r="E19" s="15">
        <v>0</v>
      </c>
      <c r="F19" s="16">
        <f>1/(4*G12_f)</f>
        <v>2.5380710659898477E-2</v>
      </c>
      <c r="G19" s="15">
        <v>0</v>
      </c>
    </row>
    <row r="20" spans="1:7" ht="36" customHeight="1" x14ac:dyDescent="0.25">
      <c r="A20" s="11"/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f>F19</f>
        <v>2.5380710659898477E-2</v>
      </c>
    </row>
    <row r="21" spans="1:7" ht="36" customHeight="1" x14ac:dyDescent="0.25">
      <c r="A21" s="11"/>
      <c r="B21" s="11"/>
    </row>
    <row r="22" spans="1:7" ht="36" customHeight="1" x14ac:dyDescent="0.25">
      <c r="A22" s="11" t="s">
        <v>18</v>
      </c>
      <c r="B22" s="15">
        <f>1/E_m</f>
        <v>0.29069767441860467</v>
      </c>
      <c r="C22" s="15">
        <f>-nu_m/E_m</f>
        <v>-0.11299418604651162</v>
      </c>
      <c r="D22" s="15">
        <f>C22</f>
        <v>-0.11299418604651162</v>
      </c>
      <c r="E22" s="15">
        <v>0</v>
      </c>
      <c r="F22" s="15">
        <v>0</v>
      </c>
      <c r="G22" s="15">
        <v>0</v>
      </c>
    </row>
    <row r="23" spans="1:7" s="11" customFormat="1" ht="36" customHeight="1" x14ac:dyDescent="0.25">
      <c r="B23" s="15">
        <f>C22</f>
        <v>-0.11299418604651162</v>
      </c>
      <c r="C23" s="15">
        <f>1/E_m</f>
        <v>0.29069767441860467</v>
      </c>
      <c r="D23" s="15">
        <f>D22</f>
        <v>-0.11299418604651162</v>
      </c>
      <c r="E23" s="15">
        <v>0</v>
      </c>
      <c r="F23" s="15">
        <v>0</v>
      </c>
      <c r="G23" s="15">
        <v>0</v>
      </c>
    </row>
    <row r="24" spans="1:7" ht="36" customHeight="1" x14ac:dyDescent="0.25">
      <c r="A24" s="11"/>
      <c r="B24" s="15">
        <f>C22</f>
        <v>-0.11299418604651162</v>
      </c>
      <c r="C24" s="15">
        <f>D23</f>
        <v>-0.11299418604651162</v>
      </c>
      <c r="D24" s="15">
        <f>C23</f>
        <v>0.29069767441860467</v>
      </c>
      <c r="E24" s="15">
        <v>0</v>
      </c>
      <c r="F24" s="15">
        <v>0</v>
      </c>
      <c r="G24" s="15">
        <v>0</v>
      </c>
    </row>
    <row r="25" spans="1:7" ht="36" customHeight="1" x14ac:dyDescent="0.25">
      <c r="A25" s="11"/>
      <c r="B25" s="15">
        <v>0</v>
      </c>
      <c r="C25" s="15">
        <v>0</v>
      </c>
      <c r="D25" s="15">
        <v>0</v>
      </c>
      <c r="E25" s="15">
        <f>1/(4*G_m)</f>
        <v>0.20184593023255815</v>
      </c>
      <c r="F25" s="15">
        <v>0</v>
      </c>
      <c r="G25" s="15">
        <v>0</v>
      </c>
    </row>
    <row r="26" spans="1:7" ht="36" customHeight="1" x14ac:dyDescent="0.25">
      <c r="A26" s="11"/>
      <c r="B26" s="15">
        <v>0</v>
      </c>
      <c r="C26" s="15">
        <v>0</v>
      </c>
      <c r="D26" s="15">
        <v>0</v>
      </c>
      <c r="E26" s="15">
        <v>0</v>
      </c>
      <c r="F26" s="16">
        <f>E25</f>
        <v>0.20184593023255815</v>
      </c>
      <c r="G26" s="15">
        <v>0</v>
      </c>
    </row>
    <row r="27" spans="1:7" ht="36" customHeight="1" x14ac:dyDescent="0.25">
      <c r="A27" s="11"/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f>F26</f>
        <v>0.20184593023255815</v>
      </c>
    </row>
    <row r="28" spans="1:7" ht="36" customHeight="1" x14ac:dyDescent="0.25">
      <c r="A28" s="11"/>
      <c r="B28" s="11"/>
    </row>
    <row r="29" spans="1:7" ht="36" customHeight="1" x14ac:dyDescent="0.25">
      <c r="A29" s="11" t="s">
        <v>21</v>
      </c>
      <c r="B29" s="15">
        <f>1/E1_UD</f>
        <v>7.4074074074074077E-3</v>
      </c>
      <c r="C29" s="15">
        <f>-nu12_UD/E1_UD</f>
        <v>-1.8518518518518519E-3</v>
      </c>
      <c r="D29" s="15">
        <f>C29</f>
        <v>-1.8518518518518519E-3</v>
      </c>
      <c r="E29" s="15">
        <v>0</v>
      </c>
      <c r="F29" s="15">
        <v>0</v>
      </c>
      <c r="G29" s="15">
        <v>0</v>
      </c>
    </row>
    <row r="30" spans="1:7" s="11" customFormat="1" ht="36" customHeight="1" x14ac:dyDescent="0.25">
      <c r="B30" s="15">
        <f>C29</f>
        <v>-1.8518518518518519E-3</v>
      </c>
      <c r="C30" s="15">
        <f>1/E2_UD</f>
        <v>0.13333333333333333</v>
      </c>
      <c r="D30" s="15">
        <f>-nu23_UD/E2_UD</f>
        <v>-6.0000000000000005E-2</v>
      </c>
      <c r="E30" s="15">
        <v>0</v>
      </c>
      <c r="F30" s="15">
        <v>0</v>
      </c>
      <c r="G30" s="15">
        <v>0</v>
      </c>
    </row>
    <row r="31" spans="1:7" ht="36" customHeight="1" x14ac:dyDescent="0.25">
      <c r="A31" s="11"/>
      <c r="B31" s="15">
        <f>C29</f>
        <v>-1.8518518518518519E-3</v>
      </c>
      <c r="C31" s="15">
        <f>D30</f>
        <v>-6.0000000000000005E-2</v>
      </c>
      <c r="D31" s="15">
        <f>C30</f>
        <v>0.13333333333333333</v>
      </c>
      <c r="E31" s="15">
        <v>0</v>
      </c>
      <c r="F31" s="15">
        <v>0</v>
      </c>
      <c r="G31" s="15">
        <v>0</v>
      </c>
    </row>
    <row r="32" spans="1:7" ht="36" customHeight="1" x14ac:dyDescent="0.25">
      <c r="A32" s="11"/>
      <c r="B32" s="15">
        <v>0</v>
      </c>
      <c r="C32" s="15">
        <v>0</v>
      </c>
      <c r="D32" s="15">
        <v>0</v>
      </c>
      <c r="E32" s="15">
        <f>1/(4*G23_UD)</f>
        <v>9.057971014492755E-2</v>
      </c>
      <c r="F32" s="15">
        <v>0</v>
      </c>
      <c r="G32" s="15">
        <v>0</v>
      </c>
    </row>
    <row r="33" spans="1:7" ht="36" customHeight="1" x14ac:dyDescent="0.25">
      <c r="A33" s="11"/>
      <c r="B33" s="15">
        <v>0</v>
      </c>
      <c r="C33" s="15">
        <v>0</v>
      </c>
      <c r="D33" s="15">
        <v>0</v>
      </c>
      <c r="E33" s="15">
        <v>0</v>
      </c>
      <c r="F33" s="16">
        <f>1/(4*G12_UD)</f>
        <v>7.1428571428571425E-2</v>
      </c>
      <c r="G33" s="15">
        <v>0</v>
      </c>
    </row>
    <row r="34" spans="1:7" ht="36" customHeight="1" x14ac:dyDescent="0.25">
      <c r="A34" s="11"/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f>F33</f>
        <v>7.1428571428571425E-2</v>
      </c>
    </row>
    <row r="35" spans="1:7" ht="36" customHeight="1" x14ac:dyDescent="0.25">
      <c r="A35" s="11"/>
      <c r="B35" s="11"/>
    </row>
    <row r="36" spans="1:7" ht="36" customHeight="1" x14ac:dyDescent="0.25">
      <c r="A36" s="11" t="s">
        <v>19</v>
      </c>
      <c r="B36" s="15">
        <f t="array" ref="B36:G41">(S_f*Vf+S_m*Vm)</f>
        <v>0.11888776541961578</v>
      </c>
      <c r="C36" s="13">
        <v>-4.5641152679474217E-2</v>
      </c>
      <c r="D36" s="13">
        <v>-4.5641152679474217E-2</v>
      </c>
      <c r="E36" s="13">
        <v>0</v>
      </c>
      <c r="F36" s="13">
        <v>0</v>
      </c>
      <c r="G36" s="13">
        <v>0</v>
      </c>
    </row>
    <row r="37" spans="1:7" s="11" customFormat="1" ht="36" customHeight="1" x14ac:dyDescent="0.25">
      <c r="B37" s="15">
        <v>-4.5641152679474217E-2</v>
      </c>
      <c r="C37" s="13">
        <v>0.16627906976744186</v>
      </c>
      <c r="D37" s="13">
        <v>-6.0197674418604651E-2</v>
      </c>
      <c r="E37" s="13">
        <v>0</v>
      </c>
      <c r="F37" s="13">
        <v>0</v>
      </c>
      <c r="G37" s="13">
        <v>0</v>
      </c>
    </row>
    <row r="38" spans="1:7" ht="36" customHeight="1" x14ac:dyDescent="0.25">
      <c r="A38" s="11"/>
      <c r="B38" s="15">
        <v>-4.5641152679474217E-2</v>
      </c>
      <c r="C38" s="13">
        <v>-6.0197674418604651E-2</v>
      </c>
      <c r="D38" s="13">
        <v>0.16627906976744186</v>
      </c>
      <c r="E38" s="13">
        <v>0</v>
      </c>
      <c r="F38" s="13">
        <v>0</v>
      </c>
      <c r="G38" s="13">
        <v>0</v>
      </c>
    </row>
    <row r="39" spans="1:7" ht="36" customHeight="1" x14ac:dyDescent="0.25">
      <c r="A39" s="11"/>
      <c r="B39" s="15">
        <v>0</v>
      </c>
      <c r="C39" s="13">
        <v>0</v>
      </c>
      <c r="D39" s="13">
        <v>0</v>
      </c>
      <c r="E39" s="13">
        <v>0.11323837209302326</v>
      </c>
      <c r="F39" s="13">
        <v>0</v>
      </c>
      <c r="G39" s="13">
        <v>0</v>
      </c>
    </row>
    <row r="40" spans="1:7" ht="36" customHeight="1" x14ac:dyDescent="0.25">
      <c r="A40" s="11"/>
      <c r="B40" s="15">
        <v>0</v>
      </c>
      <c r="C40" s="13">
        <v>0</v>
      </c>
      <c r="D40" s="13">
        <v>0</v>
      </c>
      <c r="E40" s="13">
        <v>0</v>
      </c>
      <c r="F40" s="13">
        <v>9.5966798488962349E-2</v>
      </c>
      <c r="G40" s="13">
        <v>0</v>
      </c>
    </row>
    <row r="41" spans="1:7" ht="36" customHeight="1" x14ac:dyDescent="0.25">
      <c r="A41" s="11"/>
      <c r="B41" s="15">
        <v>0</v>
      </c>
      <c r="C41" s="13">
        <v>0</v>
      </c>
      <c r="D41" s="13">
        <v>0</v>
      </c>
      <c r="E41" s="13">
        <v>0</v>
      </c>
      <c r="F41" s="13">
        <v>0</v>
      </c>
      <c r="G41" s="13">
        <v>9.5966798488962349E-2</v>
      </c>
    </row>
    <row r="42" spans="1:7" ht="36" customHeight="1" x14ac:dyDescent="0.25">
      <c r="A42" s="11"/>
      <c r="B42" s="11"/>
    </row>
    <row r="43" spans="1:7" ht="36" customHeight="1" x14ac:dyDescent="0.25">
      <c r="A43" s="11" t="s">
        <v>27</v>
      </c>
      <c r="B43" s="15">
        <f t="array" ref="B43:G48">S_f-S_m</f>
        <v>-0.28634984833164817</v>
      </c>
      <c r="C43" s="13">
        <v>0.11225505561172902</v>
      </c>
      <c r="D43" s="13">
        <v>0.11225505561172902</v>
      </c>
      <c r="E43" s="13">
        <v>0</v>
      </c>
      <c r="F43" s="13">
        <v>0</v>
      </c>
      <c r="G43" s="13">
        <v>0</v>
      </c>
    </row>
    <row r="44" spans="1:7" s="11" customFormat="1" ht="36" customHeight="1" x14ac:dyDescent="0.25">
      <c r="B44" s="15">
        <v>0.11225505561172902</v>
      </c>
      <c r="C44" s="15">
        <v>-0.20736434108527135</v>
      </c>
      <c r="D44" s="15">
        <v>8.799418604651163E-2</v>
      </c>
      <c r="E44" s="15">
        <v>0</v>
      </c>
      <c r="F44" s="15">
        <v>0</v>
      </c>
      <c r="G44" s="15">
        <v>0</v>
      </c>
    </row>
    <row r="45" spans="1:7" ht="36" customHeight="1" x14ac:dyDescent="0.25">
      <c r="A45" s="11"/>
      <c r="B45" s="15">
        <v>0.11225505561172902</v>
      </c>
      <c r="C45" s="13">
        <v>8.799418604651163E-2</v>
      </c>
      <c r="D45" s="13">
        <v>-0.20736434108527135</v>
      </c>
      <c r="E45" s="13">
        <v>0</v>
      </c>
      <c r="F45" s="13">
        <v>0</v>
      </c>
      <c r="G45" s="13">
        <v>0</v>
      </c>
    </row>
    <row r="46" spans="1:7" ht="36" customHeight="1" x14ac:dyDescent="0.25">
      <c r="A46" s="11"/>
      <c r="B46" s="15">
        <v>0</v>
      </c>
      <c r="C46" s="13">
        <v>0</v>
      </c>
      <c r="D46" s="13">
        <v>0</v>
      </c>
      <c r="E46" s="13">
        <v>-0.14767926356589148</v>
      </c>
      <c r="F46" s="13">
        <v>0</v>
      </c>
      <c r="G46" s="13">
        <v>0</v>
      </c>
    </row>
    <row r="47" spans="1:7" ht="36" customHeight="1" x14ac:dyDescent="0.25">
      <c r="A47" s="11"/>
      <c r="B47" s="15">
        <v>0</v>
      </c>
      <c r="C47" s="13">
        <v>0</v>
      </c>
      <c r="D47" s="13">
        <v>0</v>
      </c>
      <c r="E47" s="13">
        <v>0</v>
      </c>
      <c r="F47" s="13">
        <v>-0.17646521957265968</v>
      </c>
      <c r="G47" s="13">
        <v>0</v>
      </c>
    </row>
    <row r="48" spans="1:7" ht="36" customHeight="1" x14ac:dyDescent="0.25">
      <c r="A48" s="11"/>
      <c r="B48" s="15">
        <v>0</v>
      </c>
      <c r="C48" s="13">
        <v>0</v>
      </c>
      <c r="D48" s="13">
        <v>0</v>
      </c>
      <c r="E48" s="13">
        <v>0</v>
      </c>
      <c r="F48" s="13">
        <v>0</v>
      </c>
      <c r="G48" s="13">
        <v>-0.17646521957265968</v>
      </c>
    </row>
    <row r="49" spans="1:7" ht="36" customHeight="1" x14ac:dyDescent="0.25">
      <c r="A49" s="11"/>
      <c r="B49" s="11"/>
    </row>
    <row r="50" spans="1:7" ht="36" customHeight="1" x14ac:dyDescent="0.25">
      <c r="A50" s="11" t="s">
        <v>20</v>
      </c>
      <c r="B50" s="15">
        <f t="array" ref="B50:G55">MMULT(MINVERSE(W),MMULT(MINVERSE(delta_S),MINVERSE(W)))</f>
        <v>-13.294029087552868</v>
      </c>
      <c r="C50" s="13">
        <v>-12.501633880282981</v>
      </c>
      <c r="D50" s="13">
        <v>-12.501633880282981</v>
      </c>
      <c r="E50" s="13">
        <v>0</v>
      </c>
      <c r="F50" s="13">
        <v>0</v>
      </c>
      <c r="G50" s="13">
        <v>0</v>
      </c>
    </row>
    <row r="51" spans="1:7" s="11" customFormat="1" ht="36" customHeight="1" x14ac:dyDescent="0.25">
      <c r="B51" s="15">
        <v>-12.501633880282981</v>
      </c>
      <c r="C51" s="15">
        <v>-17.637979185879622</v>
      </c>
      <c r="D51" s="15">
        <v>-14.252263494137226</v>
      </c>
      <c r="E51" s="15">
        <v>0</v>
      </c>
      <c r="F51" s="15">
        <v>0</v>
      </c>
      <c r="G51" s="15">
        <v>0</v>
      </c>
    </row>
    <row r="52" spans="1:7" ht="36" customHeight="1" x14ac:dyDescent="0.25">
      <c r="A52" s="11"/>
      <c r="B52" s="15">
        <v>-12.501633880282981</v>
      </c>
      <c r="C52" s="13">
        <v>-14.252263494137226</v>
      </c>
      <c r="D52" s="13">
        <v>-17.637979185879622</v>
      </c>
      <c r="E52" s="13">
        <v>0</v>
      </c>
      <c r="F52" s="13">
        <v>0</v>
      </c>
      <c r="G52" s="13">
        <v>0</v>
      </c>
    </row>
    <row r="53" spans="1:7" ht="36" customHeight="1" x14ac:dyDescent="0.25">
      <c r="A53" s="11"/>
      <c r="B53" s="15">
        <v>0</v>
      </c>
      <c r="C53" s="13">
        <v>0</v>
      </c>
      <c r="D53" s="13">
        <v>0</v>
      </c>
      <c r="E53" s="13">
        <v>-1.6928578458711985</v>
      </c>
      <c r="F53" s="13">
        <v>0</v>
      </c>
      <c r="G53" s="13">
        <v>0</v>
      </c>
    </row>
    <row r="54" spans="1:7" ht="36" customHeight="1" x14ac:dyDescent="0.25">
      <c r="A54" s="11"/>
      <c r="B54" s="15">
        <v>0</v>
      </c>
      <c r="C54" s="13">
        <v>0</v>
      </c>
      <c r="D54" s="13">
        <v>0</v>
      </c>
      <c r="E54" s="13">
        <v>0</v>
      </c>
      <c r="F54" s="13">
        <v>-1.4167097664084582</v>
      </c>
      <c r="G54" s="13">
        <v>0</v>
      </c>
    </row>
    <row r="55" spans="1:7" ht="36" customHeight="1" x14ac:dyDescent="0.25">
      <c r="A55" s="11"/>
      <c r="B55" s="15">
        <v>0</v>
      </c>
      <c r="C55" s="13">
        <v>0</v>
      </c>
      <c r="D55" s="13">
        <v>0</v>
      </c>
      <c r="E55" s="13">
        <v>0</v>
      </c>
      <c r="F55" s="13">
        <v>0</v>
      </c>
      <c r="G55" s="13">
        <v>-1.4167097664084582</v>
      </c>
    </row>
    <row r="56" spans="1:7" ht="36" customHeight="1" x14ac:dyDescent="0.25">
      <c r="A56" s="11"/>
      <c r="B56" s="11"/>
    </row>
    <row r="57" spans="1:7" ht="36" customHeight="1" x14ac:dyDescent="0.25">
      <c r="A57" s="11" t="s">
        <v>28</v>
      </c>
      <c r="B57" s="15">
        <f t="array" ref="B57:G62">S_star-S_bar</f>
        <v>-0.11148035801220837</v>
      </c>
      <c r="C57" s="13">
        <v>4.3789300827622363E-2</v>
      </c>
      <c r="D57" s="13">
        <v>4.3789300827622363E-2</v>
      </c>
      <c r="E57" s="13">
        <v>0</v>
      </c>
      <c r="F57" s="13">
        <v>0</v>
      </c>
      <c r="G57" s="13">
        <v>0</v>
      </c>
    </row>
    <row r="58" spans="1:7" s="11" customFormat="1" ht="36" customHeight="1" x14ac:dyDescent="0.25">
      <c r="B58" s="15">
        <v>4.3789300827622363E-2</v>
      </c>
      <c r="C58" s="15">
        <v>-3.294573643410853E-2</v>
      </c>
      <c r="D58" s="15">
        <v>1.9767441860464585E-4</v>
      </c>
      <c r="E58" s="15">
        <v>0</v>
      </c>
      <c r="F58" s="15">
        <v>0</v>
      </c>
      <c r="G58" s="15">
        <v>0</v>
      </c>
    </row>
    <row r="59" spans="1:7" ht="36" customHeight="1" x14ac:dyDescent="0.25">
      <c r="A59" s="11"/>
      <c r="B59" s="15">
        <v>4.3789300827622363E-2</v>
      </c>
      <c r="C59" s="13">
        <v>1.9767441860464585E-4</v>
      </c>
      <c r="D59" s="13">
        <v>-3.294573643410853E-2</v>
      </c>
      <c r="E59" s="13">
        <v>0</v>
      </c>
      <c r="F59" s="13">
        <v>0</v>
      </c>
      <c r="G59" s="13">
        <v>0</v>
      </c>
    </row>
    <row r="60" spans="1:7" ht="36" customHeight="1" x14ac:dyDescent="0.25">
      <c r="A60" s="11"/>
      <c r="B60" s="15">
        <v>0</v>
      </c>
      <c r="C60" s="13">
        <v>0</v>
      </c>
      <c r="D60" s="13">
        <v>0</v>
      </c>
      <c r="E60" s="13">
        <v>-2.265866194809571E-2</v>
      </c>
      <c r="F60" s="13">
        <v>0</v>
      </c>
      <c r="G60" s="13">
        <v>0</v>
      </c>
    </row>
    <row r="61" spans="1:7" ht="36" customHeight="1" x14ac:dyDescent="0.25">
      <c r="A61" s="11"/>
      <c r="B61" s="15">
        <v>0</v>
      </c>
      <c r="C61" s="13">
        <v>0</v>
      </c>
      <c r="D61" s="13">
        <v>0</v>
      </c>
      <c r="E61" s="13">
        <v>0</v>
      </c>
      <c r="F61" s="13">
        <v>-2.4538227060390924E-2</v>
      </c>
      <c r="G61" s="13">
        <v>0</v>
      </c>
    </row>
    <row r="62" spans="1:7" ht="36" customHeight="1" x14ac:dyDescent="0.25">
      <c r="A62" s="11"/>
      <c r="B62" s="15">
        <v>0</v>
      </c>
      <c r="C62" s="13">
        <v>0</v>
      </c>
      <c r="D62" s="13">
        <v>0</v>
      </c>
      <c r="E62" s="13">
        <v>0</v>
      </c>
      <c r="F62" s="13">
        <v>0</v>
      </c>
      <c r="G62" s="13">
        <v>-2.4538227060390924E-2</v>
      </c>
    </row>
    <row r="63" spans="1:7" ht="36" customHeight="1" x14ac:dyDescent="0.25">
      <c r="A63" s="11"/>
      <c r="B63" s="11"/>
    </row>
    <row r="64" spans="1:7" ht="36" customHeight="1" x14ac:dyDescent="0.25">
      <c r="A64" s="11" t="s">
        <v>29</v>
      </c>
      <c r="B64" s="15">
        <f t="array" ref="B64:G69">MMULT(P,MMULT(W,(S_star-S_bar)))</f>
        <v>0.38714750846409118</v>
      </c>
      <c r="C64" s="13">
        <v>-0.17273195731938312</v>
      </c>
      <c r="D64" s="13">
        <v>-0.17273195731938312</v>
      </c>
      <c r="E64" s="13">
        <v>0</v>
      </c>
      <c r="F64" s="13">
        <v>0</v>
      </c>
      <c r="G64" s="13">
        <v>0</v>
      </c>
    </row>
    <row r="65" spans="1:7" ht="36" customHeight="1" x14ac:dyDescent="0.25">
      <c r="A65" s="11"/>
      <c r="B65" s="15">
        <v>-2.7648094696394176E-3</v>
      </c>
      <c r="C65" s="15">
        <v>3.0841098767771181E-2</v>
      </c>
      <c r="D65" s="15">
        <v>-8.137306743412509E-2</v>
      </c>
      <c r="E65" s="15">
        <v>0</v>
      </c>
      <c r="F65" s="15">
        <v>0</v>
      </c>
      <c r="G65" s="15">
        <v>0</v>
      </c>
    </row>
    <row r="66" spans="1:7" ht="36" customHeight="1" x14ac:dyDescent="0.25">
      <c r="B66" s="13">
        <v>-2.7648094696394176E-3</v>
      </c>
      <c r="C66" s="13">
        <v>-8.137306743412509E-2</v>
      </c>
      <c r="D66" s="13">
        <v>3.0841098767771191E-2</v>
      </c>
      <c r="E66" s="13">
        <v>0</v>
      </c>
      <c r="F66" s="13">
        <v>0</v>
      </c>
      <c r="G66" s="13">
        <v>0</v>
      </c>
    </row>
    <row r="67" spans="1:7" ht="36" customHeight="1" x14ac:dyDescent="0.25">
      <c r="B67" s="13">
        <v>0</v>
      </c>
      <c r="C67" s="13">
        <v>0</v>
      </c>
      <c r="D67" s="13">
        <v>0</v>
      </c>
      <c r="E67" s="13">
        <v>7.6715787311553998E-2</v>
      </c>
      <c r="F67" s="13">
        <v>0</v>
      </c>
      <c r="G67" s="13">
        <v>0</v>
      </c>
    </row>
    <row r="68" spans="1:7" ht="36" customHeight="1" x14ac:dyDescent="0.25">
      <c r="B68" s="13">
        <v>0</v>
      </c>
      <c r="C68" s="13">
        <v>0</v>
      </c>
      <c r="D68" s="13">
        <v>0</v>
      </c>
      <c r="E68" s="13">
        <v>0</v>
      </c>
      <c r="F68" s="13">
        <v>6.9527091853608267E-2</v>
      </c>
      <c r="G68" s="13">
        <v>0</v>
      </c>
    </row>
    <row r="69" spans="1:7" ht="36" customHeight="1" x14ac:dyDescent="0.25">
      <c r="B69" s="13">
        <v>0</v>
      </c>
      <c r="C69" s="13">
        <v>0</v>
      </c>
      <c r="D69" s="13">
        <v>0</v>
      </c>
      <c r="E69" s="13">
        <v>0</v>
      </c>
      <c r="F69" s="13">
        <v>0</v>
      </c>
      <c r="G69" s="13">
        <v>6.9527091853608267E-2</v>
      </c>
    </row>
    <row r="70" spans="1:7" ht="36" customHeight="1" x14ac:dyDescent="0.25"/>
    <row r="71" spans="1:7" ht="36" customHeight="1" x14ac:dyDescent="0.25"/>
    <row r="72" spans="1:7" ht="36" customHeight="1" x14ac:dyDescent="0.25"/>
    <row r="73" spans="1:7" ht="36" customHeight="1" x14ac:dyDescent="0.25"/>
    <row r="74" spans="1:7" ht="36" customHeight="1" x14ac:dyDescent="0.25"/>
    <row r="75" spans="1:7" ht="36" customHeight="1" x14ac:dyDescent="0.25"/>
    <row r="76" spans="1:7" ht="36" customHeight="1" x14ac:dyDescent="0.25"/>
    <row r="77" spans="1:7" ht="36" customHeight="1" x14ac:dyDescent="0.25"/>
    <row r="78" spans="1:7" ht="36" customHeight="1" x14ac:dyDescent="0.25"/>
    <row r="79" spans="1:7" ht="36" customHeight="1" x14ac:dyDescent="0.25"/>
    <row r="80" spans="1:7" ht="36" customHeight="1" x14ac:dyDescent="0.25"/>
    <row r="81" ht="36" customHeight="1" x14ac:dyDescent="0.25"/>
    <row r="82" ht="36" customHeight="1" x14ac:dyDescent="0.25"/>
    <row r="83" ht="36" customHeight="1" x14ac:dyDescent="0.25"/>
    <row r="84" ht="36" customHeight="1" x14ac:dyDescent="0.25"/>
    <row r="85" ht="36" customHeight="1" x14ac:dyDescent="0.25"/>
    <row r="86" ht="36" customHeight="1" x14ac:dyDescent="0.25"/>
    <row r="87" ht="36" customHeight="1" x14ac:dyDescent="0.25"/>
    <row r="88" ht="36" customHeight="1" x14ac:dyDescent="0.25"/>
    <row r="89" ht="36" customHeight="1" x14ac:dyDescent="0.25"/>
    <row r="90" ht="36" customHeight="1" x14ac:dyDescent="0.25"/>
    <row r="91" ht="36" customHeight="1" x14ac:dyDescent="0.25"/>
    <row r="92" ht="36" customHeight="1" x14ac:dyDescent="0.25"/>
    <row r="93" ht="36" customHeight="1" x14ac:dyDescent="0.25"/>
    <row r="94" ht="36" customHeight="1" x14ac:dyDescent="0.25"/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5"/>
  <sheetViews>
    <sheetView workbookViewId="0">
      <selection activeCell="C14" sqref="C14"/>
    </sheetView>
    <sheetView workbookViewId="1"/>
  </sheetViews>
  <sheetFormatPr defaultRowHeight="15" x14ac:dyDescent="0.25"/>
  <cols>
    <col min="1" max="1" width="10.42578125" style="2" customWidth="1"/>
    <col min="2" max="2" width="11" style="2" bestFit="1" customWidth="1"/>
    <col min="3" max="3" width="6" style="2" bestFit="1" customWidth="1"/>
    <col min="4" max="4" width="4.5703125" style="2" bestFit="1" customWidth="1"/>
    <col min="9" max="9" width="10.5703125" customWidth="1"/>
  </cols>
  <sheetData>
    <row r="1" spans="1:9" s="10" customFormat="1" x14ac:dyDescent="0.25">
      <c r="A1" s="25" t="s">
        <v>41</v>
      </c>
      <c r="B1" s="2"/>
      <c r="C1" s="2"/>
      <c r="D1" s="23"/>
    </row>
    <row r="2" spans="1:9" s="10" customFormat="1" x14ac:dyDescent="0.25">
      <c r="A2" s="14" t="s">
        <v>37</v>
      </c>
      <c r="B2" s="2"/>
      <c r="C2" s="23">
        <f>(C4-C5*C3)/(1+C5*C3)</f>
        <v>-0.39534558039670692</v>
      </c>
      <c r="E2"/>
      <c r="F2"/>
      <c r="G2"/>
      <c r="H2"/>
      <c r="I2"/>
    </row>
    <row r="3" spans="1:9" x14ac:dyDescent="0.25">
      <c r="A3" s="123" t="s">
        <v>38</v>
      </c>
      <c r="B3" s="2" t="s">
        <v>42</v>
      </c>
      <c r="C3" s="2">
        <f>K_f/(K_f+2*G23_f)</f>
        <v>0.48255943066379525</v>
      </c>
      <c r="D3" s="23"/>
    </row>
    <row r="4" spans="1:9" x14ac:dyDescent="0.25">
      <c r="A4" s="123"/>
      <c r="B4" s="2" t="s">
        <v>43</v>
      </c>
      <c r="C4" s="2">
        <f>1/(3-4*nu_m)</f>
        <v>0.69194575145308601</v>
      </c>
      <c r="D4" s="23"/>
    </row>
    <row r="5" spans="1:9" x14ac:dyDescent="0.25">
      <c r="A5" s="14" t="s">
        <v>39</v>
      </c>
      <c r="C5" s="23">
        <f>G23_f/G_m</f>
        <v>3.7263864042933807</v>
      </c>
    </row>
    <row r="6" spans="1:9" x14ac:dyDescent="0.25">
      <c r="A6" s="14" t="s">
        <v>40</v>
      </c>
      <c r="C6" s="23">
        <f>(C5+C4)/(C5-1)</f>
        <v>1.6205817886960894</v>
      </c>
    </row>
    <row r="7" spans="1:9" x14ac:dyDescent="0.25">
      <c r="A7" s="2" t="s">
        <v>15</v>
      </c>
      <c r="C7" s="23">
        <f>1+4*K_UD*nu12_UD^2/E1_UD</f>
        <v>1.0131729682052808</v>
      </c>
    </row>
    <row r="8" spans="1:9" x14ac:dyDescent="0.25">
      <c r="A8"/>
      <c r="D8" s="23"/>
    </row>
    <row r="9" spans="1:9" ht="15.75" thickBot="1" x14ac:dyDescent="0.3">
      <c r="A9" s="25" t="s">
        <v>16</v>
      </c>
      <c r="D9" s="23"/>
    </row>
    <row r="10" spans="1:9" ht="18" customHeight="1" x14ac:dyDescent="0.25">
      <c r="A10" s="121" t="s">
        <v>7</v>
      </c>
      <c r="B10" s="29" t="s">
        <v>35</v>
      </c>
      <c r="C10" s="26">
        <f>G_m*(1+Vf*(1+C4)/(C6-Vf*(1+3*C4^2*Vm^2/(C2*Vf^3+1))))</f>
        <v>2.6841091005675239</v>
      </c>
      <c r="E10" s="2"/>
    </row>
    <row r="11" spans="1:9" ht="18" customHeight="1" x14ac:dyDescent="0.25">
      <c r="A11" s="120"/>
      <c r="B11" s="9" t="s">
        <v>36</v>
      </c>
      <c r="C11" s="27">
        <f>G_m+Vf/(1/(G23_f-G_m)+Vm*(K_m+2*G_m)/(2*G_m*(K_m+G_m)))</f>
        <v>2.4705661012344233</v>
      </c>
      <c r="E11" s="2"/>
    </row>
    <row r="12" spans="1:9" ht="18" customHeight="1" x14ac:dyDescent="0.25">
      <c r="A12" s="120" t="s">
        <v>4</v>
      </c>
      <c r="B12" s="9" t="s">
        <v>35</v>
      </c>
      <c r="C12" s="27">
        <f>4*K_UD*C10/(K_UD+C7*C10)</f>
        <v>7.7670710672943093</v>
      </c>
      <c r="E12" s="2"/>
    </row>
    <row r="13" spans="1:9" x14ac:dyDescent="0.25">
      <c r="A13" s="120"/>
      <c r="B13" s="30" t="s">
        <v>36</v>
      </c>
      <c r="C13" s="27">
        <f>4*K_UD*C11/(K_UD+C7*C11)</f>
        <v>7.3099805569201353</v>
      </c>
      <c r="E13" s="2"/>
    </row>
    <row r="14" spans="1:9" x14ac:dyDescent="0.25">
      <c r="A14" s="120" t="s">
        <v>34</v>
      </c>
      <c r="B14" s="30" t="s">
        <v>35</v>
      </c>
      <c r="C14" s="27">
        <f>(K_UD-C7*C11)/(K_UD+C7*C11)</f>
        <v>0.47941408110223982</v>
      </c>
      <c r="E14" s="2"/>
    </row>
    <row r="15" spans="1:9" ht="15.75" thickBot="1" x14ac:dyDescent="0.3">
      <c r="A15" s="122"/>
      <c r="B15" s="31" t="s">
        <v>36</v>
      </c>
      <c r="C15" s="28">
        <f>(K_UD-C7*C10)/(K_UD+C7*C10)</f>
        <v>0.44686202689228449</v>
      </c>
      <c r="E15" s="2"/>
    </row>
  </sheetData>
  <mergeCells count="4">
    <mergeCell ref="A12:A13"/>
    <mergeCell ref="A10:A11"/>
    <mergeCell ref="A14:A15"/>
    <mergeCell ref="A3:A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27"/>
  <sheetViews>
    <sheetView workbookViewId="0">
      <selection activeCell="L40" sqref="L40"/>
    </sheetView>
    <sheetView workbookViewId="1"/>
  </sheetViews>
  <sheetFormatPr defaultRowHeight="15" x14ac:dyDescent="0.25"/>
  <cols>
    <col min="1" max="1" width="26" bestFit="1" customWidth="1"/>
    <col min="2" max="2" width="4.85546875" customWidth="1"/>
    <col min="3" max="9" width="6.5703125" customWidth="1"/>
    <col min="10" max="10" width="4.28515625" customWidth="1"/>
  </cols>
  <sheetData>
    <row r="1" spans="1:9" x14ac:dyDescent="0.25">
      <c r="A1" t="s">
        <v>44</v>
      </c>
      <c r="C1" t="s">
        <v>45</v>
      </c>
      <c r="D1" t="s">
        <v>119</v>
      </c>
      <c r="F1" s="124" t="s">
        <v>47</v>
      </c>
      <c r="G1" s="124"/>
      <c r="H1" s="124"/>
      <c r="I1" s="10"/>
    </row>
    <row r="2" spans="1:9" x14ac:dyDescent="0.25">
      <c r="C2">
        <v>1</v>
      </c>
      <c r="D2">
        <v>0</v>
      </c>
      <c r="F2">
        <f t="array" ref="F2:F4">X_axis/SQRT(dotproduct(X_axis,X_axis))</f>
        <v>1</v>
      </c>
      <c r="G2">
        <f t="array" ref="G2:G4">crossproduct(Z_axis_unit,X_axis_unit)</f>
        <v>0</v>
      </c>
      <c r="H2">
        <f t="array" ref="H2:H4">unitcrossproduct(X_axis,XY_plane)</f>
        <v>0</v>
      </c>
    </row>
    <row r="3" spans="1:9" x14ac:dyDescent="0.25">
      <c r="C3">
        <v>0</v>
      </c>
      <c r="D3">
        <v>1</v>
      </c>
      <c r="F3">
        <v>0</v>
      </c>
      <c r="G3">
        <v>1</v>
      </c>
      <c r="H3">
        <v>0</v>
      </c>
    </row>
    <row r="4" spans="1:9" x14ac:dyDescent="0.25">
      <c r="C4">
        <v>0</v>
      </c>
      <c r="D4">
        <v>0</v>
      </c>
      <c r="F4">
        <v>0</v>
      </c>
      <c r="G4">
        <v>0</v>
      </c>
      <c r="H4">
        <v>1</v>
      </c>
    </row>
    <row r="6" spans="1:9" x14ac:dyDescent="0.25">
      <c r="A6" t="s">
        <v>46</v>
      </c>
      <c r="C6" t="s">
        <v>45</v>
      </c>
      <c r="D6" t="s">
        <v>119</v>
      </c>
      <c r="F6" s="124" t="s">
        <v>47</v>
      </c>
      <c r="G6" s="124"/>
      <c r="H6" s="124"/>
      <c r="I6" s="10"/>
    </row>
    <row r="7" spans="1:9" x14ac:dyDescent="0.25">
      <c r="C7">
        <v>1</v>
      </c>
      <c r="D7">
        <v>-1</v>
      </c>
      <c r="F7">
        <f t="array" ref="F7:F9">X_prime/SQRT(dotproduct(X_prime,X_prime))</f>
        <v>0.70710678118654746</v>
      </c>
      <c r="G7">
        <f t="array" ref="G7:G9">crossproduct(z_prime_unit,X_prime_unit)</f>
        <v>-0.70710678118654746</v>
      </c>
      <c r="H7">
        <f t="array" ref="H7:H9">unitcrossproduct(X_prime,XY_prime)</f>
        <v>0</v>
      </c>
    </row>
    <row r="8" spans="1:9" x14ac:dyDescent="0.25">
      <c r="C8">
        <v>1</v>
      </c>
      <c r="D8">
        <v>1</v>
      </c>
      <c r="F8">
        <v>0.70710678118654746</v>
      </c>
      <c r="G8">
        <v>0.70710678118654746</v>
      </c>
      <c r="H8">
        <v>0</v>
      </c>
    </row>
    <row r="9" spans="1:9" x14ac:dyDescent="0.25">
      <c r="C9">
        <v>0</v>
      </c>
      <c r="D9">
        <v>0</v>
      </c>
      <c r="F9">
        <v>0</v>
      </c>
      <c r="G9">
        <v>0</v>
      </c>
      <c r="H9">
        <v>1</v>
      </c>
    </row>
    <row r="11" spans="1:9" x14ac:dyDescent="0.25">
      <c r="A11" t="s">
        <v>48</v>
      </c>
      <c r="C11">
        <f>dotproduct($F$7:$F$9,F$2:F$4)</f>
        <v>0.70710678118654746</v>
      </c>
      <c r="D11">
        <f t="shared" ref="D11:E11" si="0">dotproduct($F$7:$F$9,G$2:G$4)</f>
        <v>0.70710678118654746</v>
      </c>
      <c r="E11">
        <f t="shared" si="0"/>
        <v>0</v>
      </c>
    </row>
    <row r="12" spans="1:9" x14ac:dyDescent="0.25">
      <c r="C12">
        <f>dotproduct($G$7:$G$9,F$2:F$4)</f>
        <v>-0.70710678118654746</v>
      </c>
      <c r="D12">
        <f t="shared" ref="D12:E12" si="1">dotproduct($G$7:$G$9,G$2:G$4)</f>
        <v>0.70710678118654746</v>
      </c>
      <c r="E12">
        <f t="shared" si="1"/>
        <v>0</v>
      </c>
    </row>
    <row r="13" spans="1:9" x14ac:dyDescent="0.25">
      <c r="C13">
        <f>dotproduct($H$7:$H$9,F$2:F$4)</f>
        <v>0</v>
      </c>
      <c r="D13">
        <f t="shared" ref="D13:E13" si="2">dotproduct($H$7:$H$9,G$2:G$4)</f>
        <v>0</v>
      </c>
      <c r="E13">
        <f t="shared" si="2"/>
        <v>1</v>
      </c>
    </row>
    <row r="15" spans="1:9" x14ac:dyDescent="0.25">
      <c r="A15" t="s">
        <v>49</v>
      </c>
      <c r="C15">
        <f t="array" ref="C15:E17">L*L</f>
        <v>0.49999999999999989</v>
      </c>
      <c r="D15">
        <v>0.49999999999999989</v>
      </c>
      <c r="E15">
        <v>0</v>
      </c>
      <c r="F15">
        <f>D11*E11</f>
        <v>0</v>
      </c>
      <c r="G15">
        <f>E11*C11</f>
        <v>0</v>
      </c>
      <c r="H15">
        <f>C11*D11</f>
        <v>0.49999999999999989</v>
      </c>
    </row>
    <row r="16" spans="1:9" x14ac:dyDescent="0.25">
      <c r="C16">
        <v>0.49999999999999989</v>
      </c>
      <c r="D16">
        <v>0.49999999999999989</v>
      </c>
      <c r="E16">
        <v>0</v>
      </c>
      <c r="F16">
        <f t="shared" ref="F16:F17" si="3">D12*E12</f>
        <v>0</v>
      </c>
      <c r="G16">
        <f t="shared" ref="G16:G17" si="4">E12*C12</f>
        <v>0</v>
      </c>
      <c r="H16">
        <f t="shared" ref="H16:H17" si="5">C12*D12</f>
        <v>-0.49999999999999989</v>
      </c>
    </row>
    <row r="17" spans="1:16" x14ac:dyDescent="0.25">
      <c r="C17">
        <v>0</v>
      </c>
      <c r="D17">
        <v>0</v>
      </c>
      <c r="E17">
        <v>1</v>
      </c>
      <c r="F17">
        <f t="shared" si="3"/>
        <v>0</v>
      </c>
      <c r="G17">
        <f t="shared" si="4"/>
        <v>0</v>
      </c>
      <c r="H17">
        <f t="shared" si="5"/>
        <v>0</v>
      </c>
    </row>
    <row r="18" spans="1:16" x14ac:dyDescent="0.25">
      <c r="C18">
        <f>C12*C13</f>
        <v>0</v>
      </c>
      <c r="D18">
        <f t="shared" ref="D18:E18" si="6">D12*D13</f>
        <v>0</v>
      </c>
      <c r="E18">
        <f t="shared" si="6"/>
        <v>0</v>
      </c>
      <c r="F18">
        <f>0.5*(E12*D13+D12*E13)</f>
        <v>0.35355339059327373</v>
      </c>
      <c r="G18">
        <f>0.5*(E12*C13+C12*E13)</f>
        <v>-0.35355339059327373</v>
      </c>
      <c r="H18">
        <f>0.5*(D13*C12+D12*C13)</f>
        <v>0</v>
      </c>
    </row>
    <row r="19" spans="1:16" x14ac:dyDescent="0.25">
      <c r="C19">
        <f>C11*C13</f>
        <v>0</v>
      </c>
      <c r="D19">
        <f t="shared" ref="D19:E19" si="7">D11*D13</f>
        <v>0</v>
      </c>
      <c r="E19">
        <f t="shared" si="7"/>
        <v>0</v>
      </c>
      <c r="F19">
        <f>0.5*(D13*E11+D11*E13)</f>
        <v>0.35355339059327373</v>
      </c>
      <c r="G19">
        <f>0.5*(C11*E13+E11*C13)</f>
        <v>0.35355339059327373</v>
      </c>
      <c r="H19">
        <f>0.5*(C11*D13+D11*C13)</f>
        <v>0</v>
      </c>
    </row>
    <row r="20" spans="1:16" x14ac:dyDescent="0.25">
      <c r="C20">
        <f>C11*C12</f>
        <v>-0.49999999999999989</v>
      </c>
      <c r="D20">
        <f t="shared" ref="D20:E20" si="8">D11*D12</f>
        <v>0.49999999999999989</v>
      </c>
      <c r="E20">
        <f t="shared" si="8"/>
        <v>0</v>
      </c>
      <c r="F20">
        <f>0.5*(D11*E12+E11*D12)</f>
        <v>0</v>
      </c>
      <c r="G20">
        <f>0.5*(C11*E12+E11*C12)</f>
        <v>0</v>
      </c>
      <c r="H20">
        <f>0.5*(C11*D12+D11*C12)</f>
        <v>0</v>
      </c>
    </row>
    <row r="22" spans="1:16" x14ac:dyDescent="0.25">
      <c r="A22" t="s">
        <v>50</v>
      </c>
      <c r="B22" t="s">
        <v>51</v>
      </c>
      <c r="C22">
        <f t="array" ref="C22:H27">MMULT(A,W)</f>
        <v>0.49999999999999989</v>
      </c>
      <c r="D22">
        <v>0.49999999999999989</v>
      </c>
      <c r="E22">
        <v>0</v>
      </c>
      <c r="F22">
        <v>0</v>
      </c>
      <c r="G22">
        <v>0</v>
      </c>
      <c r="H22">
        <v>0.99999999999999978</v>
      </c>
      <c r="J22" t="s">
        <v>51</v>
      </c>
      <c r="K22">
        <f>C22</f>
        <v>0.49999999999999989</v>
      </c>
      <c r="L22">
        <f t="shared" ref="L22:M22" si="9">D22</f>
        <v>0.49999999999999989</v>
      </c>
      <c r="M22">
        <f t="shared" si="9"/>
        <v>0</v>
      </c>
      <c r="N22">
        <f>H22</f>
        <v>0.99999999999999978</v>
      </c>
      <c r="O22">
        <f>F22</f>
        <v>0</v>
      </c>
      <c r="P22">
        <f>G22</f>
        <v>0</v>
      </c>
    </row>
    <row r="23" spans="1:16" x14ac:dyDescent="0.25">
      <c r="B23" t="s">
        <v>52</v>
      </c>
      <c r="C23">
        <v>0.49999999999999989</v>
      </c>
      <c r="D23">
        <v>0.49999999999999989</v>
      </c>
      <c r="E23">
        <v>0</v>
      </c>
      <c r="F23">
        <v>0</v>
      </c>
      <c r="G23">
        <v>0</v>
      </c>
      <c r="H23">
        <v>-0.99999999999999978</v>
      </c>
      <c r="J23" t="s">
        <v>52</v>
      </c>
      <c r="K23">
        <f t="shared" ref="K23:K24" si="10">C23</f>
        <v>0.49999999999999989</v>
      </c>
      <c r="L23">
        <f t="shared" ref="L23:L24" si="11">D23</f>
        <v>0.49999999999999989</v>
      </c>
      <c r="M23">
        <f t="shared" ref="M23:M24" si="12">E23</f>
        <v>0</v>
      </c>
      <c r="N23">
        <f t="shared" ref="N23:N24" si="13">H23</f>
        <v>-0.99999999999999978</v>
      </c>
      <c r="O23">
        <f t="shared" ref="O23:P24" si="14">F23</f>
        <v>0</v>
      </c>
      <c r="P23">
        <f t="shared" si="14"/>
        <v>0</v>
      </c>
    </row>
    <row r="24" spans="1:16" x14ac:dyDescent="0.25">
      <c r="B24" t="s">
        <v>53</v>
      </c>
      <c r="C24">
        <v>0</v>
      </c>
      <c r="D24">
        <v>0</v>
      </c>
      <c r="E24">
        <v>1</v>
      </c>
      <c r="F24">
        <v>0</v>
      </c>
      <c r="G24">
        <v>0</v>
      </c>
      <c r="H24">
        <v>0</v>
      </c>
      <c r="J24" t="s">
        <v>53</v>
      </c>
      <c r="K24">
        <f t="shared" si="10"/>
        <v>0</v>
      </c>
      <c r="L24">
        <f t="shared" si="11"/>
        <v>0</v>
      </c>
      <c r="M24">
        <f t="shared" si="12"/>
        <v>1</v>
      </c>
      <c r="N24">
        <f t="shared" si="13"/>
        <v>0</v>
      </c>
      <c r="O24">
        <f t="shared" si="14"/>
        <v>0</v>
      </c>
      <c r="P24">
        <f t="shared" si="14"/>
        <v>0</v>
      </c>
    </row>
    <row r="25" spans="1:16" x14ac:dyDescent="0.25">
      <c r="B25" t="s">
        <v>54</v>
      </c>
      <c r="C25">
        <v>0</v>
      </c>
      <c r="D25">
        <v>0</v>
      </c>
      <c r="E25">
        <v>0</v>
      </c>
      <c r="F25">
        <v>0.70710678118654746</v>
      </c>
      <c r="G25">
        <v>-0.70710678118654746</v>
      </c>
      <c r="H25">
        <v>0</v>
      </c>
      <c r="J25" t="s">
        <v>56</v>
      </c>
      <c r="K25">
        <f>C27</f>
        <v>-0.49999999999999989</v>
      </c>
      <c r="L25">
        <f t="shared" ref="L25:M25" si="15">D27</f>
        <v>0.49999999999999989</v>
      </c>
      <c r="M25">
        <f t="shared" si="15"/>
        <v>0</v>
      </c>
      <c r="N25">
        <f>H27</f>
        <v>0</v>
      </c>
      <c r="O25">
        <f>F27</f>
        <v>0</v>
      </c>
      <c r="P25">
        <f>G27</f>
        <v>0</v>
      </c>
    </row>
    <row r="26" spans="1:16" x14ac:dyDescent="0.25">
      <c r="B26" t="s">
        <v>55</v>
      </c>
      <c r="C26">
        <v>0</v>
      </c>
      <c r="D26">
        <v>0</v>
      </c>
      <c r="E26">
        <v>0</v>
      </c>
      <c r="F26">
        <v>0.70710678118654746</v>
      </c>
      <c r="G26">
        <v>0.70710678118654746</v>
      </c>
      <c r="H26">
        <v>0</v>
      </c>
      <c r="J26" t="s">
        <v>54</v>
      </c>
      <c r="K26">
        <f>C25</f>
        <v>0</v>
      </c>
      <c r="L26">
        <f t="shared" ref="L26:M27" si="16">D25</f>
        <v>0</v>
      </c>
      <c r="M26">
        <f t="shared" si="16"/>
        <v>0</v>
      </c>
      <c r="N26">
        <f>H25</f>
        <v>0</v>
      </c>
      <c r="O26">
        <f>F25</f>
        <v>0.70710678118654746</v>
      </c>
      <c r="P26">
        <f>G25</f>
        <v>-0.70710678118654746</v>
      </c>
    </row>
    <row r="27" spans="1:16" x14ac:dyDescent="0.25">
      <c r="B27" t="s">
        <v>56</v>
      </c>
      <c r="C27">
        <v>-0.49999999999999989</v>
      </c>
      <c r="D27">
        <v>0.49999999999999989</v>
      </c>
      <c r="E27">
        <v>0</v>
      </c>
      <c r="F27">
        <v>0</v>
      </c>
      <c r="G27">
        <v>0</v>
      </c>
      <c r="H27">
        <v>0</v>
      </c>
      <c r="J27" t="s">
        <v>55</v>
      </c>
      <c r="K27">
        <f>C26</f>
        <v>0</v>
      </c>
      <c r="L27">
        <f t="shared" si="16"/>
        <v>0</v>
      </c>
      <c r="M27">
        <f t="shared" si="16"/>
        <v>0</v>
      </c>
      <c r="N27">
        <f>H26</f>
        <v>0</v>
      </c>
      <c r="O27">
        <f>F26</f>
        <v>0.70710678118654746</v>
      </c>
      <c r="P27">
        <f>G26</f>
        <v>0.70710678118654746</v>
      </c>
    </row>
  </sheetData>
  <mergeCells count="2">
    <mergeCell ref="F1:H1"/>
    <mergeCell ref="F6:H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workbookViewId="0">
      <selection activeCell="N19" sqref="N19"/>
    </sheetView>
    <sheetView tabSelected="1" workbookViewId="1">
      <pane ySplit="6360" topLeftCell="A11"/>
      <selection activeCell="J10" sqref="J10"/>
      <selection pane="bottomLeft" activeCell="H24" sqref="H24"/>
    </sheetView>
  </sheetViews>
  <sheetFormatPr defaultRowHeight="15" x14ac:dyDescent="0.25"/>
  <cols>
    <col min="1" max="1" width="10.28515625" bestFit="1" customWidth="1"/>
    <col min="3" max="4" width="9.140625" style="41"/>
  </cols>
  <sheetData>
    <row r="1" spans="1:10" s="41" customFormat="1" x14ac:dyDescent="0.25">
      <c r="B1" s="41" t="s">
        <v>42</v>
      </c>
      <c r="E1" s="41" t="s">
        <v>133</v>
      </c>
    </row>
    <row r="2" spans="1:10" ht="18" x14ac:dyDescent="0.35">
      <c r="A2" s="5" t="s">
        <v>123</v>
      </c>
      <c r="E2">
        <f>1-nu12_UD*nu21_UD-nu23_UD*nu32_UD-nu31_UD*nu13_UD-nu12_UD*nu23_UD*nu31_UD-nu21_UD*nu32_UD*nu13_UD</f>
        <v>0.78743055555555552</v>
      </c>
    </row>
    <row r="3" spans="1:10" x14ac:dyDescent="0.25">
      <c r="A3" s="41"/>
    </row>
    <row r="4" spans="1:10" x14ac:dyDescent="0.25">
      <c r="A4" s="41" t="s">
        <v>124</v>
      </c>
      <c r="B4" s="41">
        <f>nu21_f*E3_f/(nu31_f+nu32_f*nu21_f)</f>
        <v>9.2307692307692317</v>
      </c>
      <c r="C4" s="41">
        <f>nu21_f*E3_f/(nu31_f+nu23_f*nu21_f)</f>
        <v>9.2307692307692317</v>
      </c>
      <c r="E4">
        <f>nu21_UD*E3_UD/(nu31_UD+nu32_UD*nu21_UD)</f>
        <v>5.1724137931034484</v>
      </c>
      <c r="F4" s="41">
        <f>nu21_UD*E3_UD/(nu31_UD+nu23_UD*nu21_UD)</f>
        <v>5.1724137931034484</v>
      </c>
    </row>
    <row r="5" spans="1:10" x14ac:dyDescent="0.25">
      <c r="A5" t="s">
        <v>125</v>
      </c>
      <c r="B5" s="41">
        <f>nu32_f*E1_f/(nu12_f+nu13_f*nu32_f)</f>
        <v>312.21719457013569</v>
      </c>
      <c r="C5" s="41">
        <f>nu32_f*E1_f/(nu12_f+nu31_f*nu32_f)</f>
        <v>399.62731668009667</v>
      </c>
      <c r="E5">
        <f>nu32_UD*E1_UD/(nu12_UD+nu13_UD*nu32_UD)</f>
        <v>167.58620689655172</v>
      </c>
      <c r="F5" s="41">
        <f>nu32_UD*E1_UD/(nu12_UD+nu31_UD*nu32_UD)</f>
        <v>237.07317073170734</v>
      </c>
    </row>
    <row r="6" spans="1:10" x14ac:dyDescent="0.25">
      <c r="A6" t="s">
        <v>126</v>
      </c>
      <c r="B6" s="41">
        <f>nu13_f*E2_f/(nu23_f+nu21_f*nu13_f)</f>
        <v>6.7659935281801031</v>
      </c>
      <c r="C6" s="41">
        <f>nu13_f*E2_f/(nu23_f+nu12_f*nu13_f)</f>
        <v>6.2024931590148986</v>
      </c>
      <c r="E6">
        <f>nu13_UD*E2_UD/(nu23_UD+nu21_UD*nu13_UD)</f>
        <v>4.134762633996937</v>
      </c>
      <c r="F6" s="41">
        <f>nu13_UD*E2_UD/(nu23_UD+nu12_UD*nu13_UD)</f>
        <v>3.6585365853658538</v>
      </c>
    </row>
    <row r="7" spans="1:10" x14ac:dyDescent="0.25">
      <c r="A7" t="s">
        <v>127</v>
      </c>
      <c r="B7" s="41">
        <f>nu31_f*E2_f/(nu21_f+nu23_f*nu31_f)</f>
        <v>9.2307692307692317</v>
      </c>
      <c r="C7" s="41">
        <f>nu31_f*E2_f/(nu21_f+nu32_f*nu31_f)</f>
        <v>9.2307692307692317</v>
      </c>
      <c r="E7">
        <f>nu31_UD*E2_UD/(nu21_UD+nu23_UD*nu31_UD)</f>
        <v>5.1724137931034484</v>
      </c>
      <c r="F7" s="41">
        <f>nu31_UD*E2_UD/(nu21_UD+nu32_UD*nu31_UD)</f>
        <v>5.1724137931034484</v>
      </c>
    </row>
    <row r="8" spans="1:10" x14ac:dyDescent="0.25">
      <c r="A8" t="s">
        <v>128</v>
      </c>
      <c r="B8" s="41">
        <f>nu12_f*E3_f/(nu32_f+nu31_f*nu12_f)</f>
        <v>6.7659935281801031</v>
      </c>
      <c r="C8" s="41">
        <f>nu12_f*E3_f/(nu32_f+nu13_f*nu12_f)</f>
        <v>6.2024931590148986</v>
      </c>
      <c r="E8">
        <f>nu12_UD*E3_UD/(nu32_UD+nu31_UD*nu12_UD)</f>
        <v>4.134762633996937</v>
      </c>
      <c r="F8" s="41">
        <f>nu12_UD*E3_UD/(nu32_UD+nu13_UD*nu12_UD)</f>
        <v>3.6585365853658538</v>
      </c>
    </row>
    <row r="9" spans="1:10" x14ac:dyDescent="0.25">
      <c r="A9" t="s">
        <v>129</v>
      </c>
      <c r="B9" s="41">
        <f>nu23_f*E1_f/(nu13_f+nu12_f*nu23_f)</f>
        <v>312.21719457013569</v>
      </c>
      <c r="C9" s="41">
        <f>nu23_f*E1_f/(nu13_f+nu21_f*nu23_f)</f>
        <v>399.62731668009667</v>
      </c>
      <c r="E9">
        <f>nu23_UD*E1_UD/(nu13_UD+nu12_UD*nu23_UD)</f>
        <v>167.58620689655172</v>
      </c>
      <c r="F9" s="41">
        <f>nu23_UD*E1_UD/(nu13_UD+nu21_UD*nu23_UD)</f>
        <v>237.07317073170734</v>
      </c>
    </row>
    <row r="11" spans="1:10" x14ac:dyDescent="0.25">
      <c r="A11" t="s">
        <v>130</v>
      </c>
      <c r="B11" s="41">
        <f>B6*B9/(B6+B9)</f>
        <v>6.622479167137147</v>
      </c>
      <c r="C11" s="41">
        <f>C6*C9/(C6+C9)</f>
        <v>6.1076974578245942</v>
      </c>
      <c r="E11">
        <f>E6*E9/(E6+E9)</f>
        <v>4.0352042510793753</v>
      </c>
      <c r="F11" s="41">
        <f>F6*F9/(F6+F9)</f>
        <v>3.6029357254058865</v>
      </c>
    </row>
    <row r="12" spans="1:10" x14ac:dyDescent="0.25">
      <c r="A12" t="s">
        <v>131</v>
      </c>
      <c r="B12" s="41">
        <f>B4*B7/(B4+B7)</f>
        <v>4.6153846153846159</v>
      </c>
      <c r="C12" s="41">
        <f>C4*C7/(C4+C7)</f>
        <v>4.6153846153846159</v>
      </c>
      <c r="E12">
        <f>E4*E7/(E4+E7)</f>
        <v>2.5862068965517242</v>
      </c>
      <c r="F12" s="41">
        <f>F4*F7/(F4+F7)</f>
        <v>2.5862068965517242</v>
      </c>
      <c r="J12" s="41"/>
    </row>
    <row r="13" spans="1:10" x14ac:dyDescent="0.25">
      <c r="A13" t="s">
        <v>132</v>
      </c>
      <c r="B13" s="41">
        <f>B5*B8/(B5+B8)</f>
        <v>6.622479167137147</v>
      </c>
      <c r="C13" s="41">
        <f>C5*C8/(C5+C8)</f>
        <v>6.1076974578245942</v>
      </c>
      <c r="E13" s="41">
        <f>E5*E8/(E5+E8)</f>
        <v>4.0352042510793753</v>
      </c>
      <c r="F13" s="41">
        <f>F5*F8/(F5+F8)</f>
        <v>3.6029357254058865</v>
      </c>
    </row>
    <row r="15" spans="1:10" x14ac:dyDescent="0.25">
      <c r="A15" t="s">
        <v>135</v>
      </c>
    </row>
    <row r="16" spans="1:10" x14ac:dyDescent="0.25">
      <c r="A16" t="s">
        <v>126</v>
      </c>
      <c r="B16">
        <f>G12_f</f>
        <v>9.85</v>
      </c>
      <c r="E16">
        <f>G12_UD</f>
        <v>3.5</v>
      </c>
    </row>
    <row r="17" spans="1:5" x14ac:dyDescent="0.25">
      <c r="A17" t="s">
        <v>124</v>
      </c>
      <c r="B17">
        <f>G23_f</f>
        <v>4.615384615384615</v>
      </c>
      <c r="E17">
        <f>G23_UD</f>
        <v>2.76</v>
      </c>
    </row>
    <row r="18" spans="1:5" x14ac:dyDescent="0.25">
      <c r="A18" t="s">
        <v>128</v>
      </c>
      <c r="B18">
        <f>G13_f</f>
        <v>9.85</v>
      </c>
      <c r="E18">
        <f>G13_UD</f>
        <v>3.5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67</vt:i4>
      </vt:variant>
    </vt:vector>
  </HeadingPairs>
  <TitlesOfParts>
    <vt:vector size="76" baseType="lpstr">
      <vt:lpstr>Fibre</vt:lpstr>
      <vt:lpstr>Resin</vt:lpstr>
      <vt:lpstr>Ply</vt:lpstr>
      <vt:lpstr>Mechanical</vt:lpstr>
      <vt:lpstr>Python</vt:lpstr>
      <vt:lpstr>UD Thermal Expansion</vt:lpstr>
      <vt:lpstr>Bounds</vt:lpstr>
      <vt:lpstr>Rotation Matrix</vt:lpstr>
      <vt:lpstr>Extended Tensor</vt:lpstr>
      <vt:lpstr>A</vt:lpstr>
      <vt:lpstr>a_bar</vt:lpstr>
      <vt:lpstr>a_f</vt:lpstr>
      <vt:lpstr>a_m</vt:lpstr>
      <vt:lpstr>alpha_m</vt:lpstr>
      <vt:lpstr>alpha1_f</vt:lpstr>
      <vt:lpstr>alpha1_UD</vt:lpstr>
      <vt:lpstr>alpha2_f</vt:lpstr>
      <vt:lpstr>alpha2_UD</vt:lpstr>
      <vt:lpstr>alpha3_f</vt:lpstr>
      <vt:lpstr>alpha3_UD</vt:lpstr>
      <vt:lpstr>delta_a</vt:lpstr>
      <vt:lpstr>delta_S</vt:lpstr>
      <vt:lpstr>E_m</vt:lpstr>
      <vt:lpstr>E1_f</vt:lpstr>
      <vt:lpstr>E1_UD</vt:lpstr>
      <vt:lpstr>E2_f</vt:lpstr>
      <vt:lpstr>E2_UD</vt:lpstr>
      <vt:lpstr>E3_f</vt:lpstr>
      <vt:lpstr>E3_UD</vt:lpstr>
      <vt:lpstr>Fibre</vt:lpstr>
      <vt:lpstr>Fibres</vt:lpstr>
      <vt:lpstr>G_m</vt:lpstr>
      <vt:lpstr>G12_f</vt:lpstr>
      <vt:lpstr>G12_UD</vt:lpstr>
      <vt:lpstr>G13_f</vt:lpstr>
      <vt:lpstr>G13_UD</vt:lpstr>
      <vt:lpstr>G23_f</vt:lpstr>
      <vt:lpstr>G23_UD</vt:lpstr>
      <vt:lpstr>K_f</vt:lpstr>
      <vt:lpstr>K_m</vt:lpstr>
      <vt:lpstr>K_UD</vt:lpstr>
      <vt:lpstr>L</vt:lpstr>
      <vt:lpstr>nu_m</vt:lpstr>
      <vt:lpstr>nu12_f</vt:lpstr>
      <vt:lpstr>nu12_UD</vt:lpstr>
      <vt:lpstr>nu13_f</vt:lpstr>
      <vt:lpstr>nu13_UD</vt:lpstr>
      <vt:lpstr>nu21_f</vt:lpstr>
      <vt:lpstr>nu21_UD</vt:lpstr>
      <vt:lpstr>nu23_f</vt:lpstr>
      <vt:lpstr>nu23_UD</vt:lpstr>
      <vt:lpstr>nu31_f</vt:lpstr>
      <vt:lpstr>nu31_UD</vt:lpstr>
      <vt:lpstr>nu32_f</vt:lpstr>
      <vt:lpstr>nu32_UD</vt:lpstr>
      <vt:lpstr>P</vt:lpstr>
      <vt:lpstr>Plies</vt:lpstr>
      <vt:lpstr>Resin</vt:lpstr>
      <vt:lpstr>Resins</vt:lpstr>
      <vt:lpstr>S_bar</vt:lpstr>
      <vt:lpstr>S_f</vt:lpstr>
      <vt:lpstr>S_m</vt:lpstr>
      <vt:lpstr>S_star</vt:lpstr>
      <vt:lpstr>Vf</vt:lpstr>
      <vt:lpstr>Vm</vt:lpstr>
      <vt:lpstr>W</vt:lpstr>
      <vt:lpstr>X_axis</vt:lpstr>
      <vt:lpstr>X_axis_unit</vt:lpstr>
      <vt:lpstr>X_prime</vt:lpstr>
      <vt:lpstr>X_prime_unit</vt:lpstr>
      <vt:lpstr>XY_plane</vt:lpstr>
      <vt:lpstr>XY_prime</vt:lpstr>
      <vt:lpstr>Y_axis_unit</vt:lpstr>
      <vt:lpstr>y_prime_unit</vt:lpstr>
      <vt:lpstr>Z_axis_unit</vt:lpstr>
      <vt:lpstr>z_prime_unit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shenhinlim</dc:creator>
  <cp:lastModifiedBy>Garth Pearce</cp:lastModifiedBy>
  <cp:lastPrinted>2013-05-21T07:23:35Z</cp:lastPrinted>
  <dcterms:created xsi:type="dcterms:W3CDTF">2013-05-07T03:37:03Z</dcterms:created>
  <dcterms:modified xsi:type="dcterms:W3CDTF">2016-09-02T04:10:53Z</dcterms:modified>
</cp:coreProperties>
</file>